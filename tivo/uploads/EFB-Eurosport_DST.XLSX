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RESH\French\November\TvReplay\Tv Replay Template\"/>
    </mc:Choice>
  </mc:AlternateContent>
  <xr:revisionPtr revIDLastSave="0" documentId="13_ncr:1_{A37E98C7-2DFC-4553-95C2-B77FC52B2018}" xr6:coauthVersionLast="38" xr6:coauthVersionMax="38" xr10:uidLastSave="{00000000-0000-0000-0000-000000000000}"/>
  <bookViews>
    <workbookView xWindow="120" yWindow="15" windowWidth="28620" windowHeight="14700" xr2:uid="{00000000-000D-0000-FFFF-FFFF00000000}"/>
  </bookViews>
  <sheets>
    <sheet name="EFB" sheetId="1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C111" i="1" l="1"/>
  <c r="BD111" i="1"/>
  <c r="BC112" i="1"/>
  <c r="BD112" i="1"/>
  <c r="BC113" i="1"/>
  <c r="BD113" i="1"/>
  <c r="BC114" i="1"/>
  <c r="BD114" i="1"/>
  <c r="BC115" i="1"/>
  <c r="BD115" i="1"/>
  <c r="BC116" i="1"/>
  <c r="BD116" i="1"/>
  <c r="BC117" i="1"/>
  <c r="BD117" i="1"/>
  <c r="BC118" i="1"/>
  <c r="BD118" i="1"/>
  <c r="BC119" i="1"/>
  <c r="BD119" i="1"/>
  <c r="BC120" i="1"/>
  <c r="BD120" i="1"/>
  <c r="BC121" i="1"/>
  <c r="BD121" i="1"/>
  <c r="BC122" i="1"/>
  <c r="BD122" i="1"/>
  <c r="BC123" i="1"/>
  <c r="BD123" i="1"/>
  <c r="BC124" i="1"/>
  <c r="BD124" i="1"/>
  <c r="BC125" i="1"/>
  <c r="BD125" i="1"/>
  <c r="BC126" i="1"/>
  <c r="BD126" i="1"/>
  <c r="BC127" i="1"/>
  <c r="BD127" i="1"/>
  <c r="BC128" i="1"/>
  <c r="BD128" i="1"/>
  <c r="BC129" i="1"/>
  <c r="BD129" i="1"/>
  <c r="BC130" i="1"/>
  <c r="BD130" i="1"/>
  <c r="BC131" i="1"/>
  <c r="BD131" i="1"/>
  <c r="BC132" i="1"/>
  <c r="BD132" i="1"/>
  <c r="BC133" i="1"/>
  <c r="BD133" i="1"/>
  <c r="BC134" i="1"/>
  <c r="BD134" i="1"/>
  <c r="BC135" i="1"/>
  <c r="BD135" i="1"/>
  <c r="BC136" i="1"/>
  <c r="BD136" i="1"/>
  <c r="BC137" i="1"/>
  <c r="BD137" i="1"/>
  <c r="BC138" i="1"/>
  <c r="BD138" i="1"/>
  <c r="BC139" i="1"/>
  <c r="BD139" i="1"/>
  <c r="BC140" i="1"/>
  <c r="BD140" i="1"/>
  <c r="BC141" i="1"/>
  <c r="BD141" i="1"/>
  <c r="BC142" i="1"/>
  <c r="BD142" i="1"/>
  <c r="BC143" i="1"/>
  <c r="BD143" i="1"/>
  <c r="BC144" i="1"/>
  <c r="BD144" i="1"/>
  <c r="BC145" i="1"/>
  <c r="BD145" i="1"/>
  <c r="BC146" i="1"/>
  <c r="BD146" i="1"/>
  <c r="BC147" i="1"/>
  <c r="BD147" i="1"/>
  <c r="BC148" i="1"/>
  <c r="BD148" i="1"/>
  <c r="BC149" i="1"/>
  <c r="BD149" i="1"/>
  <c r="BC150" i="1"/>
  <c r="BD150" i="1"/>
  <c r="BC151" i="1"/>
  <c r="BD151" i="1"/>
  <c r="BC152" i="1"/>
  <c r="BD152" i="1"/>
  <c r="BC153" i="1"/>
  <c r="BD153" i="1"/>
  <c r="BC154" i="1"/>
  <c r="BD154" i="1"/>
  <c r="BC155" i="1"/>
  <c r="BD155" i="1"/>
  <c r="BC156" i="1"/>
  <c r="BD156" i="1"/>
  <c r="BC157" i="1"/>
  <c r="BD157" i="1"/>
  <c r="BC158" i="1"/>
  <c r="BD158" i="1"/>
  <c r="BC159" i="1"/>
  <c r="BD159" i="1"/>
  <c r="BC160" i="1"/>
  <c r="BD160" i="1"/>
  <c r="BC161" i="1"/>
  <c r="BD161" i="1"/>
  <c r="BC162" i="1"/>
  <c r="BD162" i="1"/>
  <c r="BC163" i="1"/>
  <c r="BD163" i="1"/>
  <c r="BC164" i="1"/>
  <c r="BD164" i="1"/>
  <c r="BC165" i="1"/>
  <c r="BD165" i="1"/>
  <c r="BC166" i="1"/>
  <c r="BD166" i="1"/>
  <c r="BC167" i="1"/>
  <c r="BD167" i="1"/>
  <c r="BC168" i="1"/>
  <c r="BD168" i="1"/>
  <c r="BC169" i="1"/>
  <c r="BD169" i="1"/>
  <c r="BC170" i="1"/>
  <c r="BD170" i="1"/>
  <c r="BC171" i="1"/>
  <c r="BD171" i="1"/>
  <c r="BC172" i="1"/>
  <c r="BD172" i="1"/>
  <c r="BC173" i="1"/>
  <c r="BD173" i="1"/>
  <c r="BC174" i="1"/>
  <c r="BD174" i="1"/>
  <c r="BC175" i="1"/>
  <c r="BD175" i="1"/>
  <c r="BC176" i="1"/>
  <c r="BD176" i="1"/>
  <c r="BC177" i="1"/>
  <c r="BD177" i="1"/>
  <c r="BC178" i="1"/>
  <c r="BD178" i="1"/>
  <c r="BC179" i="1"/>
  <c r="BD179" i="1"/>
  <c r="BC180" i="1"/>
  <c r="BD180" i="1"/>
  <c r="BC181" i="1"/>
  <c r="BD181" i="1"/>
  <c r="BC182" i="1"/>
  <c r="BD182" i="1"/>
  <c r="BC183" i="1"/>
  <c r="BD183" i="1"/>
  <c r="BC184" i="1"/>
  <c r="BD184" i="1"/>
  <c r="BC185" i="1"/>
  <c r="BD185" i="1"/>
  <c r="BC186" i="1"/>
  <c r="BD186" i="1"/>
  <c r="BC187" i="1"/>
  <c r="BD187" i="1"/>
  <c r="BC188" i="1"/>
  <c r="BD188" i="1"/>
  <c r="BC189" i="1"/>
  <c r="BD189" i="1"/>
  <c r="BC190" i="1"/>
  <c r="BD190" i="1"/>
  <c r="BC191" i="1"/>
  <c r="BD191" i="1"/>
  <c r="BC192" i="1"/>
  <c r="BD192" i="1"/>
  <c r="BC193" i="1"/>
  <c r="BD193" i="1"/>
  <c r="BC194" i="1"/>
  <c r="BD194" i="1"/>
  <c r="BC195" i="1"/>
  <c r="BD195" i="1"/>
  <c r="BC196" i="1"/>
  <c r="BD196" i="1"/>
  <c r="BC197" i="1"/>
  <c r="BD197" i="1"/>
  <c r="BC198" i="1"/>
  <c r="BD198" i="1"/>
  <c r="BC199" i="1"/>
  <c r="BD199" i="1"/>
  <c r="BC200" i="1"/>
  <c r="BD200" i="1"/>
  <c r="BC201" i="1"/>
  <c r="BD201" i="1"/>
  <c r="BC202" i="1"/>
  <c r="BD202" i="1"/>
  <c r="BC203" i="1"/>
  <c r="BD203" i="1"/>
  <c r="BC204" i="1"/>
  <c r="BD204" i="1"/>
  <c r="BC205" i="1"/>
  <c r="BD205" i="1"/>
  <c r="BC206" i="1"/>
  <c r="BD206" i="1"/>
  <c r="BC207" i="1"/>
  <c r="BD207" i="1"/>
  <c r="BC208" i="1"/>
  <c r="BD208" i="1"/>
  <c r="BC209" i="1"/>
  <c r="BD209" i="1"/>
  <c r="BC210" i="1"/>
  <c r="BD210" i="1"/>
  <c r="BC211" i="1"/>
  <c r="BD211" i="1"/>
  <c r="BC212" i="1"/>
  <c r="BD212" i="1"/>
  <c r="BC213" i="1"/>
  <c r="BD213" i="1"/>
  <c r="BC214" i="1"/>
  <c r="BD214" i="1"/>
  <c r="BC215" i="1"/>
  <c r="BD215" i="1"/>
  <c r="BC216" i="1"/>
  <c r="BD216" i="1"/>
  <c r="BC217" i="1"/>
  <c r="BD217" i="1"/>
  <c r="BC218" i="1"/>
  <c r="BD218" i="1"/>
  <c r="BC219" i="1"/>
  <c r="BD219" i="1"/>
  <c r="BC220" i="1"/>
  <c r="BD220" i="1"/>
  <c r="BC221" i="1"/>
  <c r="BD221" i="1"/>
  <c r="BC222" i="1"/>
  <c r="BD222" i="1"/>
  <c r="BC223" i="1"/>
  <c r="BD223" i="1"/>
  <c r="BC224" i="1"/>
  <c r="BD224" i="1"/>
  <c r="BC225" i="1"/>
  <c r="BD225" i="1"/>
  <c r="BC226" i="1"/>
  <c r="BD226" i="1"/>
  <c r="BC227" i="1"/>
  <c r="BD227" i="1"/>
  <c r="BC228" i="1"/>
  <c r="BD228" i="1"/>
  <c r="BC229" i="1"/>
  <c r="BD229" i="1"/>
  <c r="BC230" i="1"/>
  <c r="BD230" i="1"/>
  <c r="BC231" i="1"/>
  <c r="BD231" i="1"/>
  <c r="BC232" i="1"/>
  <c r="BD232" i="1"/>
  <c r="BC233" i="1"/>
  <c r="BD233" i="1"/>
  <c r="BC234" i="1"/>
  <c r="BD234" i="1"/>
  <c r="BC235" i="1"/>
  <c r="BD235" i="1"/>
  <c r="BC236" i="1"/>
  <c r="BD236" i="1"/>
  <c r="BC237" i="1"/>
  <c r="BD237" i="1"/>
  <c r="BC238" i="1"/>
  <c r="BD238" i="1"/>
  <c r="BC239" i="1"/>
  <c r="BD239" i="1"/>
  <c r="BC240" i="1"/>
  <c r="BD240" i="1"/>
  <c r="BC241" i="1"/>
  <c r="BD241" i="1"/>
  <c r="BC242" i="1"/>
  <c r="BD242" i="1"/>
  <c r="BC243" i="1"/>
  <c r="BD243" i="1"/>
  <c r="BC244" i="1"/>
  <c r="BD244" i="1"/>
  <c r="BC245" i="1"/>
  <c r="BD245" i="1"/>
  <c r="BC246" i="1"/>
  <c r="BD246" i="1"/>
  <c r="BC247" i="1"/>
  <c r="BD247" i="1"/>
  <c r="BC248" i="1"/>
  <c r="BD248" i="1"/>
  <c r="BC249" i="1"/>
  <c r="BD249" i="1"/>
  <c r="BC250" i="1"/>
  <c r="BD250" i="1"/>
  <c r="BC251" i="1"/>
  <c r="BD251" i="1"/>
  <c r="BC252" i="1"/>
  <c r="BD252" i="1"/>
  <c r="BC253" i="1"/>
  <c r="BD253" i="1"/>
  <c r="BC254" i="1"/>
  <c r="BD254" i="1"/>
  <c r="BC255" i="1"/>
  <c r="BD255" i="1"/>
  <c r="BC256" i="1"/>
  <c r="BD256" i="1"/>
  <c r="BC257" i="1"/>
  <c r="BD257" i="1"/>
  <c r="BC258" i="1"/>
  <c r="BD258" i="1"/>
  <c r="BC259" i="1"/>
  <c r="BD259" i="1"/>
  <c r="BC260" i="1"/>
  <c r="BD260" i="1"/>
  <c r="BC261" i="1"/>
  <c r="BD261" i="1"/>
  <c r="BC262" i="1"/>
  <c r="BD262" i="1"/>
  <c r="BC263" i="1"/>
  <c r="BD263" i="1"/>
  <c r="BC264" i="1"/>
  <c r="BD264" i="1"/>
  <c r="BC265" i="1"/>
  <c r="BD265" i="1"/>
  <c r="BC266" i="1"/>
  <c r="BD266" i="1"/>
  <c r="BC267" i="1"/>
  <c r="BD267" i="1"/>
  <c r="BC268" i="1"/>
  <c r="BD268" i="1"/>
  <c r="BC269" i="1"/>
  <c r="BD269" i="1"/>
  <c r="BC270" i="1"/>
  <c r="BD270" i="1"/>
  <c r="BC271" i="1"/>
  <c r="BD271" i="1"/>
  <c r="BC272" i="1"/>
  <c r="BD272" i="1"/>
  <c r="BC273" i="1"/>
  <c r="BD273" i="1"/>
  <c r="BC274" i="1"/>
  <c r="BD274" i="1"/>
  <c r="BC275" i="1"/>
  <c r="BD275" i="1"/>
  <c r="BC276" i="1"/>
  <c r="BD276" i="1"/>
  <c r="BC277" i="1"/>
  <c r="BD277" i="1"/>
  <c r="BC278" i="1"/>
  <c r="BD278" i="1"/>
  <c r="BC279" i="1"/>
  <c r="BD279" i="1"/>
  <c r="BC280" i="1"/>
  <c r="BD280" i="1"/>
  <c r="BC281" i="1"/>
  <c r="BD281" i="1"/>
  <c r="BC282" i="1"/>
  <c r="BD282" i="1"/>
  <c r="BC283" i="1"/>
  <c r="BD283" i="1"/>
  <c r="BC284" i="1"/>
  <c r="BD284" i="1"/>
  <c r="BC285" i="1"/>
  <c r="BD285" i="1"/>
  <c r="BC286" i="1"/>
  <c r="BD286" i="1"/>
  <c r="BC287" i="1"/>
  <c r="BD287" i="1"/>
  <c r="BC288" i="1"/>
  <c r="BD288" i="1"/>
  <c r="BC289" i="1"/>
  <c r="BD289" i="1"/>
  <c r="BC290" i="1"/>
  <c r="BD290" i="1"/>
  <c r="BC291" i="1"/>
  <c r="BD291" i="1"/>
  <c r="BC292" i="1"/>
  <c r="BD292" i="1"/>
  <c r="BC293" i="1"/>
  <c r="BD293" i="1"/>
  <c r="BC294" i="1"/>
  <c r="BD294" i="1"/>
  <c r="BC295" i="1"/>
  <c r="BD295" i="1"/>
  <c r="BC296" i="1"/>
  <c r="BD296" i="1"/>
  <c r="BC297" i="1"/>
  <c r="BD297" i="1"/>
  <c r="BC298" i="1"/>
  <c r="BD298" i="1"/>
  <c r="BC299" i="1"/>
  <c r="BD299" i="1"/>
  <c r="BC300" i="1"/>
  <c r="BD300" i="1"/>
  <c r="BC301" i="1"/>
  <c r="BD301" i="1"/>
  <c r="BC302" i="1"/>
  <c r="BD302" i="1"/>
  <c r="BC303" i="1"/>
  <c r="BD303" i="1"/>
  <c r="BC304" i="1"/>
  <c r="BD304" i="1"/>
  <c r="BC305" i="1"/>
  <c r="BD305" i="1"/>
  <c r="BC306" i="1"/>
  <c r="BD306" i="1"/>
  <c r="BC307" i="1"/>
  <c r="BD307" i="1"/>
  <c r="BC308" i="1"/>
  <c r="BD308" i="1"/>
  <c r="BC309" i="1"/>
  <c r="BD309" i="1"/>
  <c r="BC310" i="1"/>
  <c r="BD310" i="1"/>
  <c r="BC311" i="1"/>
  <c r="BD311" i="1"/>
  <c r="BC312" i="1"/>
  <c r="BD312" i="1"/>
  <c r="BC313" i="1"/>
  <c r="BD313" i="1"/>
  <c r="BC314" i="1"/>
  <c r="BD314" i="1"/>
  <c r="BC315" i="1"/>
  <c r="BD315" i="1"/>
  <c r="BC316" i="1"/>
  <c r="BD316" i="1"/>
  <c r="BC317" i="1"/>
  <c r="BD317" i="1"/>
  <c r="BC318" i="1"/>
  <c r="BD318" i="1"/>
  <c r="BC319" i="1"/>
  <c r="BD319" i="1"/>
  <c r="BC320" i="1"/>
  <c r="BD320" i="1"/>
  <c r="BC321" i="1"/>
  <c r="BD321" i="1"/>
  <c r="BC322" i="1"/>
  <c r="BD322" i="1"/>
  <c r="BC323" i="1"/>
  <c r="BD323" i="1"/>
  <c r="BC324" i="1"/>
  <c r="BD324" i="1"/>
  <c r="BC325" i="1"/>
  <c r="BD325" i="1"/>
  <c r="BC326" i="1"/>
  <c r="BD326" i="1"/>
  <c r="BC327" i="1"/>
  <c r="BD327" i="1"/>
  <c r="BC328" i="1"/>
  <c r="BD328" i="1"/>
  <c r="BC329" i="1"/>
  <c r="BD329" i="1"/>
  <c r="BC330" i="1"/>
  <c r="BD330" i="1"/>
  <c r="BC331" i="1"/>
  <c r="BD331" i="1"/>
  <c r="BC332" i="1"/>
  <c r="BD332" i="1"/>
  <c r="BC333" i="1"/>
  <c r="BD333" i="1"/>
  <c r="BC334" i="1"/>
  <c r="BD334" i="1"/>
  <c r="BC335" i="1"/>
  <c r="BD335" i="1"/>
  <c r="BC336" i="1"/>
  <c r="BD336" i="1"/>
  <c r="BC337" i="1"/>
  <c r="BD337" i="1"/>
  <c r="BC338" i="1"/>
  <c r="BD338" i="1"/>
  <c r="BC339" i="1"/>
  <c r="BD339" i="1"/>
  <c r="BC340" i="1"/>
  <c r="BD340" i="1"/>
  <c r="BC341" i="1"/>
  <c r="BD341" i="1"/>
  <c r="BC342" i="1"/>
  <c r="BD342" i="1"/>
  <c r="BC343" i="1"/>
  <c r="BD343" i="1"/>
  <c r="BC344" i="1"/>
  <c r="BD344" i="1"/>
  <c r="BC345" i="1"/>
  <c r="BD345" i="1"/>
  <c r="BC346" i="1"/>
  <c r="BD346" i="1"/>
  <c r="BC347" i="1"/>
  <c r="BD347" i="1"/>
  <c r="BC348" i="1"/>
  <c r="BD348" i="1"/>
  <c r="BC349" i="1"/>
  <c r="BD349" i="1"/>
  <c r="BC350" i="1"/>
  <c r="BD350" i="1"/>
  <c r="BC351" i="1"/>
  <c r="BD351" i="1"/>
  <c r="BC352" i="1"/>
  <c r="BD352" i="1"/>
  <c r="BC353" i="1"/>
  <c r="BD353" i="1"/>
  <c r="BC354" i="1"/>
  <c r="BD354" i="1"/>
  <c r="BC355" i="1"/>
  <c r="BD355" i="1"/>
  <c r="BC356" i="1"/>
  <c r="BD356" i="1"/>
  <c r="BC357" i="1"/>
  <c r="BD357" i="1"/>
  <c r="BC358" i="1"/>
  <c r="BD358" i="1"/>
  <c r="BC359" i="1"/>
  <c r="BD359" i="1"/>
  <c r="BC360" i="1"/>
  <c r="BD360" i="1"/>
  <c r="BC361" i="1"/>
  <c r="BD361" i="1"/>
  <c r="BC362" i="1"/>
  <c r="BD362" i="1"/>
  <c r="BC363" i="1"/>
  <c r="BD363" i="1"/>
  <c r="BC364" i="1"/>
  <c r="BD364" i="1"/>
  <c r="BC365" i="1"/>
  <c r="BD365" i="1"/>
  <c r="BC366" i="1"/>
  <c r="BD366" i="1"/>
  <c r="BC367" i="1"/>
  <c r="BD367" i="1"/>
  <c r="BC368" i="1"/>
  <c r="BD368" i="1"/>
  <c r="BC369" i="1"/>
  <c r="BD369" i="1"/>
  <c r="BC370" i="1"/>
  <c r="BD370" i="1"/>
  <c r="BC371" i="1"/>
  <c r="BD371" i="1"/>
  <c r="BC372" i="1"/>
  <c r="BD372" i="1"/>
  <c r="BC373" i="1"/>
  <c r="BD373" i="1"/>
  <c r="BC374" i="1"/>
  <c r="BD374" i="1"/>
  <c r="BC375" i="1"/>
  <c r="BD375" i="1"/>
  <c r="BC376" i="1"/>
  <c r="BD376" i="1"/>
  <c r="BC377" i="1"/>
  <c r="BD377" i="1"/>
  <c r="BC378" i="1"/>
  <c r="BD378" i="1"/>
  <c r="BC379" i="1"/>
  <c r="BD379" i="1"/>
  <c r="BC380" i="1"/>
  <c r="BD380" i="1"/>
  <c r="BC381" i="1"/>
  <c r="BD381" i="1"/>
  <c r="BC382" i="1"/>
  <c r="BD382" i="1"/>
  <c r="BC383" i="1"/>
  <c r="BD383" i="1"/>
  <c r="BC384" i="1"/>
  <c r="BD384" i="1"/>
  <c r="BC385" i="1"/>
  <c r="BD385" i="1"/>
  <c r="BC386" i="1"/>
  <c r="BD386" i="1"/>
  <c r="BC387" i="1"/>
  <c r="BD387" i="1"/>
  <c r="BC388" i="1"/>
  <c r="BD388" i="1"/>
  <c r="BC389" i="1"/>
  <c r="BD389" i="1"/>
  <c r="BC390" i="1"/>
  <c r="BD390" i="1"/>
  <c r="BC391" i="1"/>
  <c r="BD391" i="1"/>
  <c r="BC392" i="1"/>
  <c r="BD392" i="1"/>
  <c r="BC393" i="1"/>
  <c r="BD393" i="1"/>
  <c r="BC394" i="1"/>
  <c r="BD394" i="1"/>
  <c r="BC395" i="1"/>
  <c r="BD395" i="1"/>
  <c r="BC396" i="1"/>
  <c r="BD396" i="1"/>
  <c r="BC397" i="1"/>
  <c r="BD397" i="1"/>
  <c r="BC398" i="1"/>
  <c r="BD398" i="1"/>
  <c r="BC399" i="1"/>
  <c r="BD399" i="1"/>
  <c r="BC400" i="1"/>
  <c r="BD400" i="1"/>
  <c r="BC401" i="1"/>
  <c r="BD401" i="1"/>
  <c r="BC402" i="1"/>
  <c r="BD402" i="1"/>
  <c r="BC403" i="1"/>
  <c r="BD403" i="1"/>
  <c r="BC404" i="1"/>
  <c r="BD404" i="1"/>
  <c r="BC405" i="1"/>
  <c r="BD405" i="1"/>
  <c r="BC406" i="1"/>
  <c r="BD406" i="1"/>
  <c r="BC407" i="1"/>
  <c r="BD407" i="1"/>
  <c r="BC408" i="1"/>
  <c r="BD408" i="1"/>
  <c r="BC409" i="1"/>
  <c r="BD409" i="1"/>
  <c r="BC410" i="1"/>
  <c r="BD410" i="1"/>
  <c r="BC411" i="1"/>
  <c r="BD411" i="1"/>
  <c r="BC412" i="1"/>
  <c r="BD412" i="1"/>
  <c r="BC413" i="1"/>
  <c r="BD413" i="1"/>
  <c r="BC414" i="1"/>
  <c r="BD414" i="1"/>
  <c r="BC415" i="1"/>
  <c r="BD415" i="1"/>
  <c r="BC416" i="1"/>
  <c r="BD416" i="1"/>
  <c r="BC417" i="1"/>
  <c r="BD417" i="1"/>
  <c r="BC418" i="1"/>
  <c r="BD418" i="1"/>
  <c r="BC419" i="1"/>
  <c r="BD419" i="1"/>
  <c r="BC420" i="1"/>
  <c r="BD420" i="1"/>
  <c r="BC421" i="1"/>
  <c r="BD421" i="1"/>
  <c r="BC422" i="1"/>
  <c r="BD422" i="1"/>
  <c r="BC423" i="1"/>
  <c r="BD423" i="1"/>
  <c r="BC424" i="1"/>
  <c r="BD424" i="1"/>
  <c r="BC425" i="1"/>
  <c r="BD425" i="1"/>
  <c r="BC426" i="1"/>
  <c r="BD426" i="1"/>
  <c r="BC427" i="1"/>
  <c r="BD427" i="1"/>
  <c r="BC428" i="1"/>
  <c r="BD428" i="1"/>
  <c r="BC429" i="1"/>
  <c r="BD429" i="1"/>
  <c r="BC430" i="1"/>
  <c r="BD430" i="1"/>
  <c r="BC431" i="1"/>
  <c r="BD431" i="1"/>
  <c r="BC432" i="1"/>
  <c r="BD432" i="1"/>
  <c r="BC433" i="1"/>
  <c r="BD433" i="1"/>
  <c r="BC434" i="1"/>
  <c r="BD434" i="1"/>
  <c r="BC435" i="1"/>
  <c r="BD435" i="1"/>
  <c r="BC436" i="1"/>
  <c r="BD436" i="1"/>
  <c r="BC437" i="1"/>
  <c r="BD437" i="1"/>
  <c r="BC438" i="1"/>
  <c r="BD438" i="1"/>
  <c r="BC439" i="1"/>
  <c r="BD439" i="1"/>
  <c r="BC440" i="1"/>
  <c r="BD440" i="1"/>
  <c r="BC441" i="1"/>
  <c r="BD441" i="1"/>
  <c r="BC442" i="1"/>
  <c r="BD442" i="1"/>
  <c r="BC443" i="1"/>
  <c r="BD443" i="1"/>
  <c r="BC444" i="1"/>
  <c r="BD444" i="1"/>
  <c r="BC445" i="1"/>
  <c r="BD445" i="1"/>
  <c r="BC446" i="1"/>
  <c r="BD446" i="1"/>
  <c r="BC447" i="1"/>
  <c r="BD447" i="1"/>
  <c r="BC448" i="1"/>
  <c r="BD448" i="1"/>
  <c r="BC449" i="1"/>
  <c r="BD449" i="1"/>
  <c r="BC450" i="1"/>
  <c r="BD450" i="1"/>
  <c r="BC451" i="1"/>
  <c r="BD451" i="1"/>
  <c r="BC452" i="1"/>
  <c r="BD452" i="1"/>
  <c r="BC453" i="1"/>
  <c r="BD453" i="1"/>
  <c r="BC454" i="1"/>
  <c r="BD454" i="1"/>
  <c r="BC455" i="1"/>
  <c r="BD455" i="1"/>
  <c r="BC456" i="1"/>
  <c r="BD456" i="1"/>
  <c r="BC457" i="1"/>
  <c r="BD457" i="1"/>
  <c r="BC458" i="1"/>
  <c r="BD458" i="1"/>
  <c r="BC459" i="1"/>
  <c r="BD459" i="1"/>
  <c r="BC460" i="1"/>
  <c r="BD460" i="1"/>
  <c r="BC461" i="1"/>
  <c r="BD461" i="1"/>
  <c r="BC462" i="1"/>
  <c r="BD462" i="1"/>
  <c r="BC463" i="1"/>
  <c r="BD463" i="1"/>
  <c r="BC464" i="1"/>
  <c r="BD464" i="1"/>
  <c r="BC465" i="1"/>
  <c r="BD465" i="1"/>
  <c r="BC466" i="1"/>
  <c r="BD466" i="1"/>
  <c r="BC467" i="1"/>
  <c r="BD467" i="1"/>
  <c r="BC468" i="1"/>
  <c r="BD468" i="1"/>
  <c r="BC469" i="1"/>
  <c r="BD469" i="1"/>
  <c r="BC470" i="1"/>
  <c r="BD470" i="1"/>
  <c r="BC471" i="1"/>
  <c r="BD471" i="1"/>
  <c r="BC472" i="1"/>
  <c r="BD472" i="1"/>
  <c r="BC473" i="1"/>
  <c r="BD473" i="1"/>
  <c r="BC474" i="1"/>
  <c r="BD474" i="1"/>
  <c r="BC475" i="1"/>
  <c r="BD475" i="1"/>
  <c r="BC476" i="1"/>
  <c r="BD476" i="1"/>
  <c r="BC477" i="1"/>
  <c r="BD477" i="1"/>
  <c r="BC478" i="1"/>
  <c r="BD478" i="1"/>
  <c r="BC479" i="1"/>
  <c r="BD479" i="1"/>
  <c r="BC480" i="1"/>
  <c r="BD480" i="1"/>
  <c r="BC481" i="1"/>
  <c r="BD481" i="1"/>
  <c r="BC482" i="1"/>
  <c r="BD482" i="1"/>
  <c r="BC483" i="1"/>
  <c r="BD483" i="1"/>
  <c r="BC484" i="1"/>
  <c r="BD484" i="1"/>
  <c r="BC485" i="1"/>
  <c r="BD485" i="1"/>
  <c r="BC486" i="1"/>
  <c r="BD486" i="1"/>
  <c r="BC487" i="1"/>
  <c r="BD487" i="1"/>
  <c r="BC488" i="1"/>
  <c r="BD488" i="1"/>
  <c r="BC489" i="1"/>
  <c r="BD489" i="1"/>
  <c r="BC490" i="1"/>
  <c r="BD490" i="1"/>
  <c r="BC491" i="1"/>
  <c r="BD491" i="1"/>
  <c r="BC492" i="1"/>
  <c r="BD492" i="1"/>
  <c r="BC493" i="1"/>
  <c r="BD493" i="1"/>
  <c r="BC494" i="1"/>
  <c r="BD494" i="1"/>
  <c r="BC495" i="1"/>
  <c r="BD495" i="1"/>
  <c r="BC496" i="1"/>
  <c r="BD496" i="1"/>
  <c r="BC497" i="1"/>
  <c r="BD497" i="1"/>
  <c r="BC498" i="1"/>
  <c r="BD498" i="1"/>
  <c r="BC499" i="1"/>
  <c r="BD499" i="1"/>
  <c r="BC500" i="1"/>
  <c r="BD500" i="1"/>
  <c r="BC501" i="1"/>
  <c r="BD501" i="1"/>
  <c r="BC502" i="1"/>
  <c r="BD502" i="1"/>
  <c r="BC503" i="1"/>
  <c r="BD503" i="1"/>
  <c r="BC504" i="1"/>
  <c r="BD504" i="1"/>
  <c r="BC505" i="1"/>
  <c r="BD505" i="1"/>
  <c r="BC506" i="1"/>
  <c r="BD506" i="1"/>
  <c r="BC507" i="1"/>
  <c r="BD507" i="1"/>
  <c r="BC508" i="1"/>
  <c r="BD508" i="1"/>
  <c r="BC509" i="1"/>
  <c r="BD509" i="1"/>
  <c r="BC510" i="1"/>
  <c r="BD510" i="1"/>
  <c r="BC511" i="1"/>
  <c r="BD511" i="1"/>
  <c r="BC512" i="1"/>
  <c r="BD512" i="1"/>
  <c r="BC513" i="1"/>
  <c r="BD513" i="1"/>
  <c r="BC514" i="1"/>
  <c r="BD514" i="1"/>
  <c r="BC515" i="1"/>
  <c r="BD515" i="1"/>
  <c r="BC516" i="1"/>
  <c r="BD516" i="1"/>
  <c r="BC517" i="1"/>
  <c r="BD517" i="1"/>
  <c r="BC518" i="1"/>
  <c r="BD518" i="1"/>
  <c r="BC519" i="1"/>
  <c r="BD519" i="1"/>
  <c r="BC520" i="1"/>
  <c r="BD520" i="1"/>
  <c r="BC521" i="1"/>
  <c r="BD521" i="1"/>
  <c r="BC522" i="1"/>
  <c r="BD522" i="1"/>
  <c r="BC523" i="1"/>
  <c r="BD523" i="1"/>
  <c r="BC524" i="1"/>
  <c r="BD524" i="1"/>
  <c r="BC525" i="1"/>
  <c r="BD525" i="1"/>
  <c r="BC526" i="1"/>
  <c r="BD526" i="1"/>
  <c r="BC527" i="1"/>
  <c r="BD527" i="1"/>
  <c r="BC528" i="1"/>
  <c r="BD528" i="1"/>
  <c r="BC529" i="1"/>
  <c r="BD529" i="1"/>
  <c r="BC530" i="1"/>
  <c r="BD530" i="1"/>
  <c r="BC531" i="1"/>
  <c r="BD531" i="1"/>
  <c r="BC532" i="1"/>
  <c r="BD532" i="1"/>
  <c r="BC533" i="1"/>
  <c r="BD533" i="1"/>
  <c r="BC534" i="1"/>
  <c r="BD534" i="1"/>
  <c r="BC535" i="1"/>
  <c r="BD535" i="1"/>
  <c r="BC536" i="1"/>
  <c r="BD536" i="1"/>
  <c r="BC537" i="1"/>
  <c r="BD537" i="1"/>
  <c r="BC538" i="1"/>
  <c r="BD538" i="1"/>
  <c r="BC539" i="1"/>
  <c r="BD539" i="1"/>
  <c r="BC540" i="1"/>
  <c r="BD540" i="1"/>
  <c r="BC541" i="1"/>
  <c r="BD541" i="1"/>
  <c r="BC542" i="1"/>
  <c r="BD542" i="1"/>
  <c r="BC543" i="1"/>
  <c r="BD543" i="1"/>
  <c r="BC544" i="1"/>
  <c r="BD544" i="1"/>
  <c r="BC545" i="1"/>
  <c r="BD545" i="1"/>
  <c r="BC546" i="1"/>
  <c r="BD546" i="1"/>
  <c r="BC547" i="1"/>
  <c r="BD547" i="1"/>
  <c r="BC548" i="1"/>
  <c r="BD548" i="1"/>
  <c r="BC549" i="1"/>
  <c r="BD549" i="1"/>
  <c r="BC550" i="1"/>
  <c r="BD550" i="1"/>
  <c r="BC551" i="1"/>
  <c r="BD551" i="1"/>
  <c r="BC552" i="1"/>
  <c r="BD552" i="1"/>
  <c r="BC553" i="1"/>
  <c r="BD553" i="1"/>
  <c r="BC554" i="1"/>
  <c r="BD554" i="1"/>
  <c r="BC555" i="1"/>
  <c r="BD555" i="1"/>
  <c r="BC556" i="1"/>
  <c r="BD556" i="1"/>
  <c r="BC557" i="1"/>
  <c r="BD557" i="1"/>
  <c r="BC558" i="1"/>
  <c r="BD558" i="1"/>
  <c r="BC559" i="1"/>
  <c r="BD559" i="1"/>
  <c r="BC560" i="1"/>
  <c r="BD560" i="1"/>
  <c r="BC561" i="1"/>
  <c r="BD561" i="1"/>
  <c r="BC562" i="1"/>
  <c r="BD562" i="1"/>
  <c r="BC563" i="1"/>
  <c r="BD563" i="1"/>
  <c r="BC564" i="1"/>
  <c r="BD564" i="1"/>
  <c r="BC565" i="1"/>
  <c r="BD565" i="1"/>
  <c r="BC566" i="1"/>
  <c r="BD566" i="1"/>
  <c r="BC567" i="1"/>
  <c r="BD567" i="1"/>
  <c r="BC568" i="1"/>
  <c r="BD568" i="1"/>
  <c r="BC569" i="1"/>
  <c r="BD569" i="1"/>
  <c r="BC570" i="1"/>
  <c r="BD570" i="1"/>
  <c r="BC571" i="1"/>
  <c r="BD571" i="1"/>
  <c r="BC572" i="1"/>
  <c r="BD572" i="1"/>
  <c r="BC573" i="1"/>
  <c r="BD573" i="1"/>
  <c r="BC574" i="1"/>
  <c r="BD574" i="1"/>
  <c r="BC575" i="1"/>
  <c r="BD575" i="1"/>
  <c r="BC576" i="1"/>
  <c r="BD576" i="1"/>
  <c r="BC577" i="1"/>
  <c r="BD577" i="1"/>
  <c r="BC578" i="1"/>
  <c r="BD578" i="1"/>
  <c r="BC579" i="1"/>
  <c r="BD579" i="1"/>
  <c r="BC580" i="1"/>
  <c r="BD580" i="1"/>
  <c r="BC581" i="1"/>
  <c r="BD581" i="1"/>
  <c r="BC582" i="1"/>
  <c r="BD582" i="1"/>
  <c r="BC583" i="1"/>
  <c r="BD583" i="1"/>
  <c r="BC584" i="1"/>
  <c r="BD584" i="1"/>
  <c r="BC585" i="1"/>
  <c r="BD585" i="1"/>
  <c r="BC586" i="1"/>
  <c r="BD586" i="1"/>
  <c r="BC587" i="1"/>
  <c r="BD587" i="1"/>
  <c r="BC588" i="1"/>
  <c r="BD588" i="1"/>
  <c r="BC589" i="1"/>
  <c r="BD589" i="1"/>
  <c r="BC590" i="1"/>
  <c r="BD590" i="1"/>
  <c r="BC591" i="1"/>
  <c r="BD591" i="1"/>
  <c r="BC592" i="1"/>
  <c r="BD592" i="1"/>
  <c r="BC593" i="1"/>
  <c r="BD593" i="1"/>
  <c r="BC594" i="1"/>
  <c r="BD594" i="1"/>
  <c r="BC595" i="1"/>
  <c r="BD595" i="1"/>
  <c r="BC596" i="1"/>
  <c r="BD596" i="1"/>
  <c r="BC597" i="1"/>
  <c r="BD597" i="1"/>
  <c r="BC598" i="1"/>
  <c r="BD598" i="1"/>
  <c r="BC599" i="1"/>
  <c r="BD599" i="1"/>
  <c r="BC600" i="1"/>
  <c r="BD600" i="1"/>
  <c r="BC601" i="1"/>
  <c r="BD601" i="1"/>
  <c r="BC602" i="1"/>
  <c r="BD602" i="1"/>
  <c r="BC603" i="1"/>
  <c r="BD603" i="1"/>
  <c r="BC604" i="1"/>
  <c r="BD604" i="1"/>
  <c r="BC605" i="1"/>
  <c r="BD605" i="1"/>
  <c r="BC606" i="1"/>
  <c r="BD606" i="1"/>
  <c r="BC607" i="1"/>
  <c r="BD607" i="1"/>
  <c r="BC608" i="1"/>
  <c r="BD608" i="1"/>
  <c r="BC609" i="1"/>
  <c r="BD609" i="1"/>
  <c r="BC610" i="1"/>
  <c r="BD610" i="1"/>
  <c r="BC611" i="1"/>
  <c r="BD611" i="1"/>
  <c r="BC612" i="1"/>
  <c r="BD612" i="1"/>
  <c r="BC613" i="1"/>
  <c r="BD613" i="1"/>
  <c r="BC614" i="1"/>
  <c r="BD614" i="1"/>
  <c r="BC615" i="1"/>
  <c r="BD615" i="1"/>
  <c r="BC616" i="1"/>
  <c r="BD616" i="1"/>
  <c r="BC617" i="1"/>
  <c r="BD617" i="1"/>
  <c r="BC618" i="1"/>
  <c r="BD618" i="1"/>
  <c r="BC619" i="1"/>
  <c r="BD619" i="1"/>
  <c r="BC620" i="1"/>
  <c r="BD620" i="1"/>
  <c r="BC621" i="1"/>
  <c r="BD621" i="1"/>
  <c r="BC622" i="1"/>
  <c r="BD622" i="1"/>
  <c r="BC623" i="1"/>
  <c r="BD623" i="1"/>
  <c r="BC624" i="1"/>
  <c r="BD624" i="1"/>
  <c r="BC625" i="1"/>
  <c r="BD625" i="1"/>
  <c r="BC626" i="1"/>
  <c r="BD626" i="1"/>
  <c r="BC627" i="1"/>
  <c r="BD627" i="1"/>
  <c r="BC628" i="1"/>
  <c r="BD628" i="1"/>
  <c r="BC629" i="1"/>
  <c r="BD629" i="1"/>
  <c r="BC630" i="1"/>
  <c r="BD630" i="1"/>
  <c r="BC631" i="1"/>
  <c r="BD631" i="1"/>
  <c r="BC632" i="1"/>
  <c r="BD632" i="1"/>
  <c r="BC633" i="1"/>
  <c r="BD633" i="1"/>
  <c r="BC634" i="1"/>
  <c r="BD634" i="1"/>
  <c r="BC635" i="1"/>
  <c r="BD635" i="1"/>
  <c r="BC636" i="1"/>
  <c r="BD636" i="1"/>
  <c r="BC637" i="1"/>
  <c r="BD637" i="1"/>
  <c r="BC638" i="1"/>
  <c r="BD638" i="1"/>
  <c r="BC639" i="1"/>
  <c r="BD639" i="1"/>
  <c r="BC640" i="1"/>
  <c r="BD640" i="1"/>
  <c r="BC641" i="1"/>
  <c r="BD641" i="1"/>
  <c r="BC642" i="1"/>
  <c r="BD642" i="1"/>
  <c r="BC643" i="1"/>
  <c r="BD643" i="1"/>
  <c r="BC644" i="1"/>
  <c r="BD644" i="1"/>
  <c r="BC645" i="1"/>
  <c r="BD645" i="1"/>
  <c r="BC646" i="1"/>
  <c r="BD646" i="1"/>
  <c r="BC647" i="1"/>
  <c r="BD647" i="1"/>
  <c r="BC648" i="1"/>
  <c r="BD648" i="1"/>
  <c r="BC649" i="1"/>
  <c r="BD649" i="1"/>
  <c r="BC650" i="1"/>
  <c r="BD650" i="1"/>
  <c r="BC651" i="1"/>
  <c r="BD651" i="1"/>
  <c r="BC652" i="1"/>
  <c r="BD652" i="1"/>
  <c r="BC653" i="1"/>
  <c r="BD653" i="1"/>
  <c r="BC654" i="1"/>
  <c r="BD654" i="1"/>
  <c r="BC655" i="1"/>
  <c r="BD655" i="1"/>
  <c r="BC656" i="1"/>
  <c r="BD656" i="1"/>
  <c r="BC657" i="1"/>
  <c r="BD657" i="1"/>
  <c r="BC658" i="1"/>
  <c r="BD658" i="1"/>
  <c r="BC659" i="1"/>
  <c r="BD659" i="1"/>
  <c r="BC660" i="1"/>
  <c r="BD660" i="1"/>
  <c r="BC661" i="1"/>
  <c r="BD661" i="1"/>
  <c r="BC662" i="1"/>
  <c r="BD662" i="1"/>
  <c r="BC663" i="1"/>
  <c r="BD663" i="1"/>
  <c r="BC664" i="1"/>
  <c r="BD664" i="1"/>
  <c r="BC665" i="1"/>
  <c r="BD665" i="1"/>
  <c r="BC666" i="1"/>
  <c r="BD666" i="1"/>
  <c r="BC667" i="1"/>
  <c r="BD667" i="1"/>
  <c r="BC668" i="1"/>
  <c r="BD668" i="1"/>
  <c r="BC669" i="1"/>
  <c r="BD669" i="1"/>
  <c r="BC670" i="1"/>
  <c r="BD670" i="1"/>
  <c r="BC671" i="1"/>
  <c r="BD671" i="1"/>
  <c r="BC672" i="1"/>
  <c r="BD672" i="1"/>
  <c r="BC673" i="1"/>
  <c r="BD673" i="1"/>
  <c r="BC674" i="1"/>
  <c r="BD674" i="1"/>
  <c r="BC675" i="1"/>
  <c r="BD675" i="1"/>
  <c r="BC676" i="1"/>
  <c r="BD676" i="1"/>
  <c r="BC677" i="1"/>
  <c r="BD677" i="1"/>
  <c r="BC678" i="1"/>
  <c r="BD678" i="1"/>
  <c r="BC679" i="1"/>
  <c r="BD679" i="1"/>
  <c r="BC680" i="1"/>
  <c r="BD680" i="1"/>
  <c r="BC681" i="1"/>
  <c r="BD681" i="1"/>
  <c r="BC682" i="1"/>
  <c r="BD682" i="1"/>
  <c r="BC683" i="1"/>
  <c r="BD683" i="1"/>
  <c r="BC684" i="1"/>
  <c r="BD684" i="1"/>
  <c r="BC685" i="1"/>
  <c r="BD685" i="1"/>
  <c r="BC686" i="1"/>
  <c r="BD686" i="1"/>
  <c r="BC687" i="1"/>
  <c r="BD687" i="1"/>
  <c r="BC688" i="1"/>
  <c r="BD688" i="1"/>
  <c r="BC689" i="1"/>
  <c r="BD689" i="1"/>
  <c r="BC690" i="1"/>
  <c r="BD690" i="1"/>
  <c r="BC691" i="1"/>
  <c r="BD691" i="1"/>
  <c r="BC692" i="1"/>
  <c r="BD692" i="1"/>
  <c r="BC693" i="1"/>
  <c r="BD693" i="1"/>
  <c r="BC694" i="1"/>
  <c r="BD694" i="1"/>
  <c r="BC695" i="1"/>
  <c r="BD695" i="1"/>
  <c r="BC696" i="1"/>
  <c r="BD696" i="1"/>
  <c r="BC697" i="1"/>
  <c r="BD697" i="1"/>
  <c r="BC698" i="1"/>
  <c r="BD698" i="1"/>
  <c r="BC699" i="1"/>
  <c r="BD699" i="1"/>
  <c r="BC700" i="1"/>
  <c r="BD700" i="1"/>
  <c r="BC701" i="1"/>
  <c r="BD701" i="1"/>
  <c r="BC702" i="1"/>
  <c r="BD702" i="1"/>
  <c r="BC703" i="1"/>
  <c r="BD703" i="1"/>
  <c r="BC704" i="1"/>
  <c r="BD704" i="1"/>
  <c r="BC705" i="1"/>
  <c r="BD705" i="1"/>
  <c r="BC706" i="1"/>
  <c r="BD706" i="1"/>
  <c r="BC707" i="1"/>
  <c r="BD707" i="1"/>
  <c r="BC708" i="1"/>
  <c r="BD708" i="1"/>
  <c r="BC709" i="1"/>
  <c r="BD709" i="1"/>
  <c r="BC710" i="1"/>
  <c r="BD710" i="1"/>
  <c r="BC711" i="1"/>
  <c r="BD711" i="1"/>
  <c r="BC712" i="1"/>
  <c r="BD712" i="1"/>
  <c r="BC713" i="1"/>
  <c r="BD713" i="1"/>
  <c r="BC714" i="1"/>
  <c r="BD714" i="1"/>
  <c r="BC715" i="1"/>
  <c r="BD715" i="1"/>
  <c r="BC716" i="1"/>
  <c r="BD716" i="1"/>
  <c r="BC717" i="1"/>
  <c r="BD717" i="1"/>
  <c r="BC718" i="1"/>
  <c r="BD718" i="1"/>
  <c r="BC719" i="1"/>
  <c r="BD719" i="1"/>
  <c r="BC720" i="1"/>
  <c r="BD720" i="1"/>
  <c r="BC721" i="1"/>
  <c r="BD721" i="1"/>
  <c r="BC722" i="1"/>
  <c r="BD722" i="1"/>
  <c r="BC723" i="1"/>
  <c r="BD723" i="1"/>
  <c r="BC724" i="1"/>
  <c r="BD724" i="1"/>
  <c r="BC725" i="1"/>
  <c r="BD725" i="1"/>
  <c r="BC726" i="1"/>
  <c r="BD726" i="1"/>
  <c r="BC727" i="1"/>
  <c r="BD727" i="1"/>
  <c r="BC728" i="1"/>
  <c r="BD728" i="1"/>
  <c r="BC729" i="1"/>
  <c r="BD729" i="1"/>
  <c r="BC730" i="1"/>
  <c r="BD730" i="1"/>
  <c r="BC731" i="1"/>
  <c r="BD731" i="1"/>
  <c r="BC732" i="1"/>
  <c r="BD732" i="1"/>
  <c r="BC733" i="1"/>
  <c r="BD733" i="1"/>
  <c r="BC734" i="1"/>
  <c r="BD734" i="1"/>
  <c r="BC735" i="1"/>
  <c r="BD735" i="1"/>
  <c r="BC736" i="1"/>
  <c r="BD736" i="1"/>
  <c r="BC737" i="1"/>
  <c r="BD737" i="1"/>
  <c r="BC738" i="1"/>
  <c r="BD738" i="1"/>
  <c r="BC739" i="1"/>
  <c r="BD739" i="1"/>
  <c r="BC740" i="1"/>
  <c r="BD740" i="1"/>
  <c r="BC741" i="1"/>
  <c r="BD741" i="1"/>
  <c r="BC742" i="1"/>
  <c r="BD742" i="1"/>
  <c r="BC743" i="1"/>
  <c r="BD743" i="1"/>
  <c r="BC744" i="1"/>
  <c r="BD744" i="1"/>
  <c r="BC745" i="1"/>
  <c r="BD745" i="1"/>
  <c r="BC746" i="1"/>
  <c r="BD746" i="1"/>
  <c r="BC747" i="1"/>
  <c r="BD747" i="1"/>
  <c r="BC748" i="1"/>
  <c r="BD748" i="1"/>
  <c r="BC749" i="1"/>
  <c r="BD749" i="1"/>
  <c r="BC750" i="1"/>
  <c r="BD750" i="1"/>
  <c r="BC751" i="1"/>
  <c r="BD751" i="1"/>
  <c r="BC752" i="1"/>
  <c r="BD752" i="1"/>
  <c r="BC753" i="1"/>
  <c r="BD753" i="1"/>
  <c r="BC754" i="1"/>
  <c r="BD754" i="1"/>
  <c r="BC755" i="1"/>
  <c r="BD755" i="1"/>
  <c r="BC756" i="1"/>
  <c r="BD756" i="1"/>
  <c r="BC757" i="1"/>
  <c r="BD757" i="1"/>
  <c r="BC758" i="1"/>
  <c r="BD758" i="1"/>
  <c r="BC759" i="1"/>
  <c r="BD759" i="1"/>
  <c r="BC760" i="1"/>
  <c r="BD760" i="1"/>
  <c r="BC761" i="1"/>
  <c r="BD761" i="1"/>
  <c r="BC762" i="1"/>
  <c r="BD762" i="1"/>
  <c r="BC763" i="1"/>
  <c r="BD763" i="1"/>
  <c r="BC764" i="1"/>
  <c r="BD764" i="1"/>
  <c r="BC765" i="1"/>
  <c r="BD765" i="1"/>
  <c r="BC766" i="1"/>
  <c r="BD766" i="1"/>
  <c r="BC767" i="1"/>
  <c r="BD767" i="1"/>
  <c r="BC768" i="1"/>
  <c r="BD768" i="1"/>
  <c r="BC769" i="1"/>
  <c r="BD769" i="1"/>
  <c r="BC770" i="1"/>
  <c r="BD770" i="1"/>
  <c r="BC771" i="1"/>
  <c r="BD771" i="1"/>
  <c r="BC772" i="1"/>
  <c r="BD772" i="1"/>
  <c r="BC773" i="1"/>
  <c r="BD773" i="1"/>
  <c r="BC774" i="1"/>
  <c r="BD774" i="1"/>
  <c r="BC775" i="1"/>
  <c r="BD775" i="1"/>
  <c r="BC776" i="1"/>
  <c r="BD776" i="1"/>
  <c r="BC777" i="1"/>
  <c r="BD777" i="1"/>
  <c r="BC778" i="1"/>
  <c r="BD778" i="1"/>
  <c r="BC779" i="1"/>
  <c r="BD779" i="1"/>
  <c r="BC780" i="1"/>
  <c r="BD780" i="1"/>
  <c r="BC781" i="1"/>
  <c r="BD781" i="1"/>
  <c r="BC782" i="1"/>
  <c r="BD782" i="1"/>
  <c r="BC783" i="1"/>
  <c r="BD783" i="1"/>
  <c r="BC784" i="1"/>
  <c r="BD784" i="1"/>
  <c r="BC785" i="1"/>
  <c r="BD785" i="1"/>
  <c r="BC786" i="1"/>
  <c r="BD786" i="1"/>
  <c r="BC787" i="1"/>
  <c r="BD787" i="1"/>
  <c r="BC788" i="1"/>
  <c r="BD788" i="1"/>
  <c r="BC789" i="1"/>
  <c r="BD789" i="1"/>
  <c r="BC790" i="1"/>
  <c r="BD790" i="1"/>
  <c r="BC791" i="1"/>
  <c r="BD791" i="1"/>
  <c r="BC792" i="1"/>
  <c r="BD792" i="1"/>
  <c r="BC793" i="1"/>
  <c r="BD793" i="1"/>
  <c r="BC794" i="1"/>
  <c r="BD794" i="1"/>
  <c r="BC795" i="1"/>
  <c r="BD795" i="1"/>
  <c r="BC796" i="1"/>
  <c r="BD796" i="1"/>
  <c r="BC797" i="1"/>
  <c r="BD797" i="1"/>
  <c r="BC798" i="1"/>
  <c r="BD798" i="1"/>
  <c r="BC799" i="1"/>
  <c r="BD799" i="1"/>
  <c r="BC800" i="1"/>
  <c r="BD800" i="1"/>
  <c r="BC801" i="1"/>
  <c r="BD801" i="1"/>
  <c r="BC802" i="1"/>
  <c r="BD802" i="1"/>
  <c r="BC803" i="1"/>
  <c r="BD803" i="1"/>
  <c r="BC804" i="1"/>
  <c r="BD804" i="1"/>
  <c r="BC805" i="1"/>
  <c r="BD805" i="1"/>
  <c r="BC806" i="1"/>
  <c r="BD806" i="1"/>
  <c r="BC807" i="1"/>
  <c r="BD807" i="1"/>
  <c r="BC808" i="1"/>
  <c r="BD808" i="1"/>
  <c r="BC809" i="1"/>
  <c r="BD809" i="1"/>
  <c r="BC810" i="1"/>
  <c r="BD810" i="1"/>
  <c r="BC811" i="1"/>
  <c r="BD811" i="1"/>
  <c r="BC812" i="1"/>
  <c r="BD812" i="1"/>
  <c r="BC813" i="1"/>
  <c r="BD813" i="1"/>
  <c r="BC814" i="1"/>
  <c r="BD814" i="1"/>
  <c r="BC815" i="1"/>
  <c r="BD815" i="1"/>
  <c r="BC816" i="1"/>
  <c r="BD816" i="1"/>
  <c r="BC817" i="1"/>
  <c r="BD817" i="1"/>
  <c r="BC818" i="1"/>
  <c r="BD818" i="1"/>
  <c r="BC819" i="1"/>
  <c r="BD819" i="1"/>
  <c r="BC820" i="1"/>
  <c r="BD820" i="1"/>
  <c r="BC821" i="1"/>
  <c r="BD821" i="1"/>
  <c r="BC822" i="1"/>
  <c r="BD822" i="1"/>
  <c r="BC823" i="1"/>
  <c r="BD823" i="1"/>
  <c r="BC824" i="1"/>
  <c r="BD824" i="1"/>
  <c r="BC825" i="1"/>
  <c r="BD825" i="1"/>
  <c r="BC826" i="1"/>
  <c r="BD826" i="1"/>
  <c r="BC827" i="1"/>
  <c r="BD827" i="1"/>
  <c r="BC828" i="1"/>
  <c r="BD828" i="1"/>
  <c r="BC829" i="1"/>
  <c r="BD829" i="1"/>
  <c r="BC830" i="1"/>
  <c r="BD830" i="1"/>
  <c r="BC831" i="1"/>
  <c r="BD831" i="1"/>
  <c r="BC832" i="1"/>
  <c r="BD832" i="1"/>
  <c r="BC833" i="1"/>
  <c r="BD833" i="1"/>
  <c r="BC834" i="1"/>
  <c r="BD834" i="1"/>
  <c r="BC835" i="1"/>
  <c r="BD835" i="1"/>
  <c r="BC836" i="1"/>
  <c r="BD836" i="1"/>
  <c r="BC837" i="1"/>
  <c r="BD837" i="1"/>
  <c r="BC838" i="1"/>
  <c r="BD838" i="1"/>
  <c r="BC839" i="1"/>
  <c r="BD839" i="1"/>
  <c r="BC840" i="1"/>
  <c r="BD840" i="1"/>
  <c r="BC841" i="1"/>
  <c r="BD841" i="1"/>
  <c r="BC842" i="1"/>
  <c r="BD842" i="1"/>
  <c r="BC843" i="1"/>
  <c r="BD843" i="1"/>
  <c r="BC844" i="1"/>
  <c r="BD844" i="1"/>
  <c r="BC845" i="1"/>
  <c r="BD845" i="1"/>
  <c r="BC846" i="1"/>
  <c r="BD846" i="1"/>
  <c r="BC847" i="1"/>
  <c r="BD847" i="1"/>
  <c r="BC848" i="1"/>
  <c r="BD848" i="1"/>
  <c r="BC849" i="1"/>
  <c r="BD849" i="1"/>
  <c r="BC850" i="1"/>
  <c r="BD850" i="1"/>
  <c r="BC851" i="1"/>
  <c r="BD851" i="1"/>
  <c r="BC852" i="1"/>
  <c r="BD852" i="1"/>
  <c r="BC853" i="1"/>
  <c r="BD853" i="1"/>
  <c r="BC854" i="1"/>
  <c r="BD854" i="1"/>
  <c r="BC855" i="1"/>
  <c r="BD855" i="1"/>
  <c r="BC856" i="1"/>
  <c r="BD856" i="1"/>
  <c r="BC857" i="1"/>
  <c r="BD857" i="1"/>
  <c r="BC858" i="1"/>
  <c r="BD858" i="1"/>
  <c r="BC859" i="1"/>
  <c r="BD859" i="1"/>
  <c r="BC860" i="1"/>
  <c r="BD860" i="1"/>
  <c r="BC861" i="1"/>
  <c r="BD861" i="1"/>
  <c r="BC862" i="1"/>
  <c r="BD862" i="1"/>
  <c r="BC863" i="1"/>
  <c r="BD863" i="1"/>
  <c r="BC864" i="1"/>
  <c r="BD864" i="1"/>
  <c r="BC865" i="1"/>
  <c r="BD865" i="1"/>
  <c r="BC866" i="1"/>
  <c r="BD866" i="1"/>
  <c r="BC867" i="1"/>
  <c r="BD867" i="1"/>
  <c r="BC868" i="1"/>
  <c r="BD868" i="1"/>
  <c r="BC869" i="1"/>
  <c r="BD869" i="1"/>
  <c r="BC870" i="1"/>
  <c r="BD870" i="1"/>
  <c r="BC871" i="1"/>
  <c r="BD871" i="1"/>
  <c r="BC872" i="1"/>
  <c r="BD872" i="1"/>
  <c r="BC873" i="1"/>
  <c r="BD873" i="1"/>
  <c r="BC874" i="1"/>
  <c r="BD874" i="1"/>
  <c r="BC875" i="1"/>
  <c r="BD875" i="1"/>
  <c r="BC876" i="1"/>
  <c r="BD876" i="1"/>
  <c r="BC877" i="1"/>
  <c r="BD877" i="1"/>
  <c r="BC878" i="1"/>
  <c r="BD878" i="1"/>
  <c r="BC879" i="1"/>
  <c r="BD879" i="1"/>
  <c r="BC880" i="1"/>
  <c r="BD880" i="1"/>
  <c r="BC881" i="1"/>
  <c r="BD881" i="1"/>
  <c r="BC882" i="1"/>
  <c r="BD882" i="1"/>
  <c r="BC883" i="1"/>
  <c r="BD883" i="1"/>
  <c r="BC884" i="1"/>
  <c r="BD884" i="1"/>
  <c r="BC885" i="1"/>
  <c r="BD885" i="1"/>
  <c r="BC886" i="1"/>
  <c r="BD886" i="1"/>
  <c r="BC887" i="1"/>
  <c r="BD887" i="1"/>
  <c r="BC888" i="1"/>
  <c r="BD888" i="1"/>
  <c r="BC889" i="1"/>
  <c r="BD889" i="1"/>
  <c r="BC890" i="1"/>
  <c r="BD890" i="1"/>
  <c r="BC891" i="1"/>
  <c r="BD891" i="1"/>
  <c r="BC892" i="1"/>
  <c r="BD892" i="1"/>
  <c r="BC893" i="1"/>
  <c r="BD893" i="1"/>
  <c r="BC894" i="1"/>
  <c r="BD894" i="1"/>
  <c r="BC895" i="1"/>
  <c r="BD895" i="1"/>
  <c r="BC896" i="1"/>
  <c r="BD896" i="1"/>
  <c r="BC897" i="1"/>
  <c r="BD897" i="1"/>
  <c r="BC898" i="1"/>
  <c r="BD898" i="1"/>
  <c r="BC899" i="1"/>
  <c r="BD899" i="1"/>
  <c r="BC900" i="1"/>
  <c r="BD900" i="1"/>
  <c r="BC901" i="1"/>
  <c r="BD901" i="1"/>
  <c r="BC902" i="1"/>
  <c r="BD902" i="1"/>
  <c r="BC903" i="1"/>
  <c r="BD903" i="1"/>
  <c r="BC904" i="1"/>
  <c r="BD904" i="1"/>
  <c r="BC905" i="1"/>
  <c r="BD905" i="1"/>
  <c r="BC906" i="1"/>
  <c r="BD906" i="1"/>
  <c r="BC907" i="1"/>
  <c r="BD907" i="1"/>
  <c r="BC908" i="1"/>
  <c r="BD908" i="1"/>
  <c r="BC909" i="1"/>
  <c r="BD909" i="1"/>
  <c r="BC910" i="1"/>
  <c r="BD910" i="1"/>
  <c r="BC911" i="1"/>
  <c r="BD911" i="1"/>
  <c r="BC912" i="1"/>
  <c r="BD912" i="1"/>
  <c r="BC913" i="1"/>
  <c r="BD913" i="1"/>
  <c r="BC914" i="1"/>
  <c r="BD914" i="1"/>
  <c r="BC915" i="1"/>
  <c r="BD915" i="1"/>
  <c r="BC916" i="1"/>
  <c r="BD916" i="1"/>
  <c r="BC917" i="1"/>
  <c r="BD917" i="1"/>
  <c r="BC918" i="1"/>
  <c r="BD918" i="1"/>
  <c r="BC919" i="1"/>
  <c r="BD919" i="1"/>
  <c r="BC920" i="1"/>
  <c r="BD920" i="1"/>
  <c r="BC921" i="1"/>
  <c r="BD921" i="1"/>
  <c r="BC922" i="1"/>
  <c r="BD922" i="1"/>
  <c r="BC923" i="1"/>
  <c r="BD923" i="1"/>
  <c r="BC924" i="1"/>
  <c r="BD924" i="1"/>
  <c r="BC925" i="1"/>
  <c r="BD925" i="1"/>
  <c r="BC926" i="1"/>
  <c r="BD926" i="1"/>
  <c r="BC927" i="1"/>
  <c r="BD927" i="1"/>
  <c r="BC928" i="1"/>
  <c r="BD928" i="1"/>
  <c r="BC929" i="1"/>
  <c r="BD929" i="1"/>
  <c r="BC930" i="1"/>
  <c r="BD930" i="1"/>
  <c r="BC931" i="1"/>
  <c r="BD931" i="1"/>
  <c r="BC932" i="1"/>
  <c r="BD932" i="1"/>
  <c r="BC933" i="1"/>
  <c r="BD933" i="1"/>
  <c r="BC934" i="1"/>
  <c r="BD934" i="1"/>
  <c r="BC935" i="1"/>
  <c r="BD935" i="1"/>
  <c r="BC936" i="1"/>
  <c r="BD936" i="1"/>
  <c r="BC937" i="1"/>
  <c r="BD937" i="1"/>
  <c r="BC938" i="1"/>
  <c r="BD938" i="1"/>
  <c r="BC939" i="1"/>
  <c r="BD939" i="1"/>
  <c r="BC940" i="1"/>
  <c r="BD940" i="1"/>
  <c r="BC941" i="1"/>
  <c r="BD941" i="1"/>
  <c r="BC942" i="1"/>
  <c r="BD942" i="1"/>
  <c r="BC943" i="1"/>
  <c r="BD943" i="1"/>
  <c r="BC944" i="1"/>
  <c r="BD944" i="1"/>
  <c r="BC945" i="1"/>
  <c r="BD945" i="1"/>
  <c r="BC946" i="1"/>
  <c r="BD946" i="1"/>
  <c r="BC947" i="1"/>
  <c r="BD947" i="1"/>
  <c r="BC948" i="1"/>
  <c r="BD948" i="1"/>
  <c r="BC949" i="1"/>
  <c r="BD949" i="1"/>
  <c r="BC950" i="1"/>
  <c r="BD950" i="1"/>
  <c r="BC951" i="1"/>
  <c r="BD951" i="1"/>
  <c r="BC952" i="1"/>
  <c r="BD952" i="1"/>
  <c r="BC953" i="1"/>
  <c r="BD953" i="1"/>
  <c r="BC954" i="1"/>
  <c r="BD954" i="1"/>
  <c r="BC955" i="1"/>
  <c r="BD955" i="1"/>
  <c r="BC956" i="1"/>
  <c r="BD956" i="1"/>
  <c r="BC957" i="1"/>
  <c r="BD957" i="1"/>
  <c r="BC958" i="1"/>
  <c r="BD958" i="1"/>
  <c r="BC959" i="1"/>
  <c r="BD959" i="1"/>
  <c r="BC960" i="1"/>
  <c r="BD960" i="1"/>
  <c r="BC961" i="1"/>
  <c r="BD961" i="1"/>
  <c r="BC962" i="1"/>
  <c r="BD962" i="1"/>
  <c r="BC963" i="1"/>
  <c r="BD963" i="1"/>
  <c r="BC964" i="1"/>
  <c r="BD964" i="1"/>
  <c r="BC965" i="1"/>
  <c r="BD965" i="1"/>
  <c r="BC966" i="1"/>
  <c r="BD966" i="1"/>
  <c r="BC967" i="1"/>
  <c r="BD967" i="1"/>
  <c r="BC968" i="1"/>
  <c r="BD968" i="1"/>
  <c r="BC969" i="1"/>
  <c r="BD969" i="1"/>
  <c r="BC970" i="1"/>
  <c r="BD970" i="1"/>
  <c r="BC971" i="1"/>
  <c r="BD971" i="1"/>
  <c r="BC972" i="1"/>
  <c r="BD972" i="1"/>
  <c r="BC973" i="1"/>
  <c r="BD973" i="1"/>
  <c r="BC974" i="1"/>
  <c r="BD974" i="1"/>
  <c r="BC975" i="1"/>
  <c r="BD975" i="1"/>
  <c r="BC976" i="1"/>
  <c r="BD976" i="1"/>
  <c r="BC977" i="1"/>
  <c r="BD977" i="1"/>
  <c r="BC978" i="1"/>
  <c r="BD978" i="1"/>
  <c r="BC979" i="1"/>
  <c r="BD979" i="1"/>
  <c r="BC980" i="1"/>
  <c r="BD980" i="1"/>
  <c r="BC981" i="1"/>
  <c r="BD981" i="1"/>
  <c r="BC982" i="1"/>
  <c r="BD982" i="1"/>
  <c r="BC983" i="1"/>
  <c r="BD983" i="1"/>
  <c r="BC984" i="1"/>
  <c r="BD984" i="1"/>
  <c r="BC985" i="1"/>
  <c r="BD985" i="1"/>
  <c r="BC986" i="1"/>
  <c r="BD986" i="1"/>
  <c r="BC987" i="1"/>
  <c r="BD987" i="1"/>
  <c r="BC988" i="1"/>
  <c r="BD988" i="1"/>
  <c r="BC989" i="1"/>
  <c r="BD989" i="1"/>
  <c r="BC990" i="1"/>
  <c r="BD990" i="1"/>
  <c r="BC991" i="1"/>
  <c r="BD991" i="1"/>
  <c r="BC992" i="1"/>
  <c r="BD992" i="1"/>
  <c r="BC993" i="1"/>
  <c r="BD993" i="1"/>
  <c r="BC994" i="1"/>
  <c r="BD994" i="1"/>
  <c r="BC995" i="1"/>
  <c r="BD995" i="1"/>
  <c r="BC996" i="1"/>
  <c r="BD996" i="1"/>
  <c r="BC997" i="1"/>
  <c r="BD997" i="1"/>
  <c r="BC998" i="1"/>
  <c r="BD998" i="1"/>
  <c r="BC999" i="1"/>
  <c r="BD999" i="1"/>
  <c r="BC1000" i="1"/>
  <c r="BD1000" i="1"/>
  <c r="BC1001" i="1"/>
  <c r="BD1001" i="1"/>
  <c r="BC1002" i="1"/>
  <c r="BD1002" i="1"/>
  <c r="BC1003" i="1"/>
  <c r="BD1003" i="1"/>
  <c r="BC1004" i="1"/>
  <c r="BD1004" i="1"/>
  <c r="BC1005" i="1"/>
  <c r="BD1005" i="1"/>
  <c r="BC1006" i="1"/>
  <c r="BD1006" i="1"/>
  <c r="BC1007" i="1"/>
  <c r="BD1007" i="1"/>
  <c r="BC1008" i="1"/>
  <c r="BD1008" i="1"/>
  <c r="BC1009" i="1"/>
  <c r="BD1009" i="1"/>
  <c r="BC1010" i="1"/>
  <c r="BD1010" i="1"/>
  <c r="BC1011" i="1"/>
  <c r="BD1011" i="1"/>
  <c r="BC1012" i="1"/>
  <c r="BD1012" i="1"/>
  <c r="BC1013" i="1"/>
  <c r="BD1013" i="1"/>
  <c r="BC1014" i="1"/>
  <c r="BD1014" i="1"/>
  <c r="BC1015" i="1"/>
  <c r="BD1015" i="1"/>
  <c r="BC1016" i="1"/>
  <c r="BD1016" i="1"/>
  <c r="BC1017" i="1"/>
  <c r="BD1017" i="1"/>
  <c r="BC1018" i="1"/>
  <c r="BD1018" i="1"/>
  <c r="BC1019" i="1"/>
  <c r="BD1019" i="1"/>
  <c r="BC1020" i="1"/>
  <c r="BD1020" i="1"/>
  <c r="BC1021" i="1"/>
  <c r="BD1021" i="1"/>
  <c r="BC1022" i="1"/>
  <c r="BD1022" i="1"/>
  <c r="BC1023" i="1"/>
  <c r="BD1023" i="1"/>
  <c r="BC1024" i="1"/>
  <c r="BD1024" i="1"/>
  <c r="BC1025" i="1"/>
  <c r="BD1025" i="1"/>
  <c r="BC1026" i="1"/>
  <c r="BD1026" i="1"/>
  <c r="BC1027" i="1"/>
  <c r="BD1027" i="1"/>
  <c r="BC1028" i="1"/>
  <c r="BD1028" i="1"/>
  <c r="BC1029" i="1"/>
  <c r="BD1029" i="1"/>
  <c r="BC1030" i="1"/>
  <c r="BD1030" i="1"/>
  <c r="BC1031" i="1"/>
  <c r="BD1031" i="1"/>
  <c r="BC1032" i="1"/>
  <c r="BD1032" i="1"/>
  <c r="BC1033" i="1"/>
  <c r="BD1033" i="1"/>
  <c r="BC1034" i="1"/>
  <c r="BD1034" i="1"/>
  <c r="BC1035" i="1"/>
  <c r="BD1035" i="1"/>
  <c r="BC1036" i="1"/>
  <c r="BD1036" i="1"/>
  <c r="BC1037" i="1"/>
  <c r="BD1037" i="1"/>
  <c r="BC1038" i="1"/>
  <c r="BD1038" i="1"/>
  <c r="BC1039" i="1"/>
  <c r="BD1039" i="1"/>
  <c r="BC1040" i="1"/>
  <c r="BD1040" i="1"/>
  <c r="BC1041" i="1"/>
  <c r="BD1041" i="1"/>
  <c r="BC1042" i="1"/>
  <c r="BD1042" i="1"/>
  <c r="BC1043" i="1"/>
  <c r="BD1043" i="1"/>
  <c r="BC1044" i="1"/>
  <c r="BD1044" i="1"/>
  <c r="BC1045" i="1"/>
  <c r="BD1045" i="1"/>
  <c r="BC1046" i="1"/>
  <c r="BD1046" i="1"/>
  <c r="BC1047" i="1"/>
  <c r="BD1047" i="1"/>
  <c r="BC1048" i="1"/>
  <c r="BD1048" i="1"/>
  <c r="BC1049" i="1"/>
  <c r="BD1049" i="1"/>
  <c r="BC1050" i="1"/>
  <c r="BD1050" i="1"/>
  <c r="BC1051" i="1"/>
  <c r="BD1051" i="1"/>
  <c r="BC1052" i="1"/>
  <c r="BD1052" i="1"/>
  <c r="BC1053" i="1"/>
  <c r="BD1053" i="1"/>
  <c r="BC1054" i="1"/>
  <c r="BD1054" i="1"/>
  <c r="BC1055" i="1"/>
  <c r="BD1055" i="1"/>
  <c r="BC1056" i="1"/>
  <c r="BD1056" i="1"/>
  <c r="BC1057" i="1"/>
  <c r="BD1057" i="1"/>
  <c r="BC1058" i="1"/>
  <c r="BD1058" i="1"/>
  <c r="BC1059" i="1"/>
  <c r="BD1059" i="1"/>
  <c r="BC1060" i="1"/>
  <c r="BD1060" i="1"/>
  <c r="BC1061" i="1"/>
  <c r="BD1061" i="1"/>
  <c r="BC1062" i="1"/>
  <c r="BD1062" i="1"/>
  <c r="BC1063" i="1"/>
  <c r="BD1063" i="1"/>
  <c r="BC1064" i="1"/>
  <c r="BD1064" i="1"/>
  <c r="BC1065" i="1"/>
  <c r="BD1065" i="1"/>
  <c r="BC1066" i="1"/>
  <c r="BD1066" i="1"/>
  <c r="BC1067" i="1"/>
  <c r="BD1067" i="1"/>
  <c r="BC1068" i="1"/>
  <c r="BD1068" i="1"/>
  <c r="BC1069" i="1"/>
  <c r="BD1069" i="1"/>
  <c r="BC1070" i="1"/>
  <c r="BD1070" i="1"/>
  <c r="BC1071" i="1"/>
  <c r="BD1071" i="1"/>
  <c r="BC1072" i="1"/>
  <c r="BD1072" i="1"/>
  <c r="BC1073" i="1"/>
  <c r="BD1073" i="1"/>
  <c r="BC1074" i="1"/>
  <c r="BD1074" i="1"/>
  <c r="BC1075" i="1"/>
  <c r="BD1075" i="1"/>
  <c r="BC1076" i="1"/>
  <c r="BD1076" i="1"/>
  <c r="BC1077" i="1"/>
  <c r="BD1077" i="1"/>
  <c r="BC1078" i="1"/>
  <c r="BD1078" i="1"/>
  <c r="BC1079" i="1"/>
  <c r="BD1079" i="1"/>
  <c r="BC1080" i="1"/>
  <c r="BD1080" i="1"/>
  <c r="BC1081" i="1"/>
  <c r="BD1081" i="1"/>
  <c r="BC1082" i="1"/>
  <c r="BD1082" i="1"/>
  <c r="BC1083" i="1"/>
  <c r="BD1083" i="1"/>
  <c r="BC1084" i="1"/>
  <c r="BD1084" i="1"/>
  <c r="BC1085" i="1"/>
  <c r="BD1085" i="1"/>
  <c r="BC1086" i="1"/>
  <c r="BD1086" i="1"/>
  <c r="BC1087" i="1"/>
  <c r="BD1087" i="1"/>
  <c r="BC1088" i="1"/>
  <c r="BD1088" i="1"/>
  <c r="BC1089" i="1"/>
  <c r="BD1089" i="1"/>
  <c r="BC1090" i="1"/>
  <c r="BD1090" i="1"/>
  <c r="BC1091" i="1"/>
  <c r="BD1091" i="1"/>
  <c r="BC1092" i="1"/>
  <c r="BD1092" i="1"/>
  <c r="BC1093" i="1"/>
  <c r="BD1093" i="1"/>
  <c r="BC1094" i="1"/>
  <c r="BD1094" i="1"/>
  <c r="BC1095" i="1"/>
  <c r="BD1095" i="1"/>
  <c r="BC1096" i="1"/>
  <c r="BD1096" i="1"/>
  <c r="BC1097" i="1"/>
  <c r="BD1097" i="1"/>
  <c r="BC1098" i="1"/>
  <c r="BD1098" i="1"/>
  <c r="BC1099" i="1"/>
  <c r="BD1099" i="1"/>
  <c r="BC1100" i="1"/>
  <c r="BD1100" i="1"/>
  <c r="BC1101" i="1"/>
  <c r="BD1101" i="1"/>
  <c r="BC1102" i="1"/>
  <c r="BD1102" i="1"/>
  <c r="BC1103" i="1"/>
  <c r="BD1103" i="1"/>
  <c r="BC1104" i="1"/>
  <c r="BD1104" i="1"/>
  <c r="BC1105" i="1"/>
  <c r="BD1105" i="1"/>
  <c r="BC1106" i="1"/>
  <c r="BD1106" i="1"/>
  <c r="BC1107" i="1"/>
  <c r="BD1107" i="1"/>
  <c r="BC1108" i="1"/>
  <c r="BD1108" i="1"/>
  <c r="BC1109" i="1"/>
  <c r="BD1109" i="1"/>
  <c r="BC1110" i="1"/>
  <c r="BD1110" i="1"/>
  <c r="BC1111" i="1"/>
  <c r="BD1111" i="1"/>
  <c r="BC1112" i="1"/>
  <c r="BD1112" i="1"/>
  <c r="BC1113" i="1"/>
  <c r="BD1113" i="1"/>
  <c r="BC1114" i="1"/>
  <c r="BD1114" i="1"/>
  <c r="BC1115" i="1"/>
  <c r="BD1115" i="1"/>
  <c r="BC1116" i="1"/>
  <c r="BD1116" i="1"/>
  <c r="BC1117" i="1"/>
  <c r="BD1117" i="1"/>
  <c r="BC1118" i="1"/>
  <c r="BD1118" i="1"/>
  <c r="BC1119" i="1"/>
  <c r="BD1119" i="1"/>
  <c r="BF111" i="1" l="1"/>
  <c r="BH111" i="1"/>
  <c r="C111" i="1" s="1"/>
  <c r="BE111" i="1" s="1"/>
  <c r="BB111" i="1" s="1"/>
  <c r="BF112" i="1"/>
  <c r="BH112" i="1"/>
  <c r="C112" i="1" s="1"/>
  <c r="BE112" i="1" s="1"/>
  <c r="BB112" i="1" s="1"/>
  <c r="BF113" i="1"/>
  <c r="BH113" i="1"/>
  <c r="C113" i="1" s="1"/>
  <c r="BE113" i="1" s="1"/>
  <c r="BB113" i="1" s="1"/>
  <c r="BF114" i="1"/>
  <c r="BH114" i="1"/>
  <c r="C114" i="1" s="1"/>
  <c r="BE114" i="1" s="1"/>
  <c r="BB114" i="1" s="1"/>
  <c r="BF115" i="1"/>
  <c r="BH115" i="1"/>
  <c r="C115" i="1" s="1"/>
  <c r="BE115" i="1" s="1"/>
  <c r="BB115" i="1" s="1"/>
  <c r="BF116" i="1"/>
  <c r="BH116" i="1"/>
  <c r="C116" i="1" s="1"/>
  <c r="BE116" i="1" s="1"/>
  <c r="BB116" i="1" s="1"/>
  <c r="BF117" i="1"/>
  <c r="BH117" i="1"/>
  <c r="C117" i="1" s="1"/>
  <c r="BE117" i="1" s="1"/>
  <c r="BB117" i="1" s="1"/>
  <c r="BF118" i="1"/>
  <c r="BH118" i="1"/>
  <c r="C118" i="1" s="1"/>
  <c r="BE118" i="1" s="1"/>
  <c r="BB118" i="1" s="1"/>
  <c r="BF119" i="1"/>
  <c r="BH119" i="1"/>
  <c r="C119" i="1" s="1"/>
  <c r="BE119" i="1" s="1"/>
  <c r="BB119" i="1" s="1"/>
  <c r="BF120" i="1"/>
  <c r="BH120" i="1"/>
  <c r="C120" i="1" s="1"/>
  <c r="BE120" i="1" s="1"/>
  <c r="BB120" i="1" s="1"/>
  <c r="BF121" i="1"/>
  <c r="BH121" i="1"/>
  <c r="C121" i="1" s="1"/>
  <c r="BE121" i="1" s="1"/>
  <c r="BB121" i="1" s="1"/>
  <c r="BF122" i="1"/>
  <c r="BH122" i="1"/>
  <c r="C122" i="1" s="1"/>
  <c r="BE122" i="1" s="1"/>
  <c r="BB122" i="1" s="1"/>
  <c r="BF123" i="1"/>
  <c r="BH123" i="1"/>
  <c r="C123" i="1" s="1"/>
  <c r="BE123" i="1" s="1"/>
  <c r="BB123" i="1" s="1"/>
  <c r="BF124" i="1"/>
  <c r="BH124" i="1"/>
  <c r="C124" i="1" s="1"/>
  <c r="BE124" i="1" s="1"/>
  <c r="BB124" i="1" s="1"/>
  <c r="BF125" i="1"/>
  <c r="BH125" i="1"/>
  <c r="C125" i="1" s="1"/>
  <c r="BE125" i="1" s="1"/>
  <c r="BB125" i="1" s="1"/>
  <c r="BF126" i="1"/>
  <c r="BH126" i="1"/>
  <c r="C126" i="1" s="1"/>
  <c r="BE126" i="1" s="1"/>
  <c r="BB126" i="1" s="1"/>
  <c r="BF127" i="1"/>
  <c r="BH127" i="1"/>
  <c r="C127" i="1" s="1"/>
  <c r="BE127" i="1" s="1"/>
  <c r="BB127" i="1" s="1"/>
  <c r="BF128" i="1"/>
  <c r="BH128" i="1"/>
  <c r="C128" i="1" s="1"/>
  <c r="BE128" i="1" s="1"/>
  <c r="BB128" i="1" s="1"/>
  <c r="BF129" i="1"/>
  <c r="BH129" i="1"/>
  <c r="C129" i="1" s="1"/>
  <c r="BE129" i="1" s="1"/>
  <c r="BB129" i="1" s="1"/>
  <c r="BF130" i="1"/>
  <c r="BH130" i="1"/>
  <c r="C130" i="1" s="1"/>
  <c r="BE130" i="1" s="1"/>
  <c r="BF131" i="1"/>
  <c r="BH131" i="1"/>
  <c r="C131" i="1" s="1"/>
  <c r="BE131" i="1" s="1"/>
  <c r="BF132" i="1"/>
  <c r="BH132" i="1"/>
  <c r="C132" i="1" s="1"/>
  <c r="BE132" i="1" s="1"/>
  <c r="BF133" i="1"/>
  <c r="BH133" i="1"/>
  <c r="C133" i="1" s="1"/>
  <c r="BE133" i="1" s="1"/>
  <c r="BF134" i="1"/>
  <c r="BH134" i="1"/>
  <c r="C134" i="1" s="1"/>
  <c r="BE134" i="1" s="1"/>
  <c r="BF135" i="1"/>
  <c r="BH135" i="1"/>
  <c r="C135" i="1" s="1"/>
  <c r="BE135" i="1" s="1"/>
  <c r="BF136" i="1"/>
  <c r="BH136" i="1"/>
  <c r="C136" i="1" s="1"/>
  <c r="BE136" i="1" s="1"/>
  <c r="BF137" i="1"/>
  <c r="BH137" i="1"/>
  <c r="C137" i="1" s="1"/>
  <c r="BE137" i="1" s="1"/>
  <c r="BF138" i="1"/>
  <c r="BH138" i="1"/>
  <c r="C138" i="1" s="1"/>
  <c r="BE138" i="1" s="1"/>
  <c r="BF139" i="1"/>
  <c r="BH139" i="1"/>
  <c r="C139" i="1" s="1"/>
  <c r="BE139" i="1" s="1"/>
  <c r="BF140" i="1"/>
  <c r="BH140" i="1"/>
  <c r="C140" i="1" s="1"/>
  <c r="BE140" i="1" s="1"/>
  <c r="BF141" i="1"/>
  <c r="BH141" i="1"/>
  <c r="C141" i="1" s="1"/>
  <c r="BE141" i="1" s="1"/>
  <c r="BF142" i="1"/>
  <c r="BH142" i="1"/>
  <c r="C142" i="1" s="1"/>
  <c r="BE142" i="1" s="1"/>
  <c r="BB142" i="1" s="1"/>
  <c r="BF143" i="1"/>
  <c r="BH143" i="1"/>
  <c r="C143" i="1" s="1"/>
  <c r="BE143" i="1" s="1"/>
  <c r="BB143" i="1" s="1"/>
  <c r="BF144" i="1"/>
  <c r="BH144" i="1"/>
  <c r="C144" i="1" s="1"/>
  <c r="BE144" i="1" s="1"/>
  <c r="BB144" i="1" s="1"/>
  <c r="BF145" i="1"/>
  <c r="BH145" i="1"/>
  <c r="C145" i="1" s="1"/>
  <c r="BE145" i="1" s="1"/>
  <c r="BB145" i="1" s="1"/>
  <c r="BF146" i="1"/>
  <c r="BH146" i="1"/>
  <c r="C146" i="1" s="1"/>
  <c r="BE146" i="1" s="1"/>
  <c r="BF147" i="1"/>
  <c r="BH147" i="1"/>
  <c r="C147" i="1" s="1"/>
  <c r="BE147" i="1" s="1"/>
  <c r="BF148" i="1"/>
  <c r="BH148" i="1"/>
  <c r="C148" i="1" s="1"/>
  <c r="BE148" i="1" s="1"/>
  <c r="BF149" i="1"/>
  <c r="BH149" i="1"/>
  <c r="C149" i="1" s="1"/>
  <c r="BE149" i="1" s="1"/>
  <c r="BF150" i="1"/>
  <c r="BH150" i="1"/>
  <c r="C150" i="1" s="1"/>
  <c r="BE150" i="1" s="1"/>
  <c r="BE151" i="1"/>
  <c r="BF151" i="1"/>
  <c r="BH151" i="1"/>
  <c r="BE152" i="1"/>
  <c r="BF152" i="1"/>
  <c r="BH152" i="1"/>
  <c r="BE153" i="1"/>
  <c r="BF153" i="1"/>
  <c r="BH153" i="1"/>
  <c r="BE154" i="1"/>
  <c r="BF154" i="1"/>
  <c r="BH154" i="1"/>
  <c r="BE155" i="1"/>
  <c r="BF155" i="1"/>
  <c r="BH155" i="1"/>
  <c r="BE156" i="1"/>
  <c r="BF156" i="1"/>
  <c r="BH156" i="1"/>
  <c r="BE157" i="1"/>
  <c r="BF157" i="1"/>
  <c r="BH157" i="1"/>
  <c r="BE158" i="1"/>
  <c r="BF158" i="1"/>
  <c r="BH158" i="1"/>
  <c r="BE159" i="1"/>
  <c r="BF159" i="1"/>
  <c r="BH159" i="1"/>
  <c r="BE160" i="1"/>
  <c r="BF160" i="1"/>
  <c r="BH160" i="1"/>
  <c r="BE161" i="1"/>
  <c r="BF161" i="1"/>
  <c r="BH161" i="1"/>
  <c r="BE162" i="1"/>
  <c r="BF162" i="1"/>
  <c r="BH162" i="1"/>
  <c r="BE163" i="1"/>
  <c r="BF163" i="1"/>
  <c r="BH163" i="1"/>
  <c r="BE164" i="1"/>
  <c r="BF164" i="1"/>
  <c r="BH164" i="1"/>
  <c r="BE165" i="1"/>
  <c r="BF165" i="1"/>
  <c r="BH165" i="1"/>
  <c r="BE166" i="1"/>
  <c r="BF166" i="1"/>
  <c r="BH166" i="1"/>
  <c r="BE167" i="1"/>
  <c r="BF167" i="1"/>
  <c r="BH167" i="1"/>
  <c r="BE168" i="1"/>
  <c r="BF168" i="1"/>
  <c r="BH168" i="1"/>
  <c r="BE169" i="1"/>
  <c r="BF169" i="1"/>
  <c r="BH169" i="1"/>
  <c r="BE170" i="1"/>
  <c r="BF170" i="1"/>
  <c r="BH170" i="1"/>
  <c r="BE171" i="1"/>
  <c r="BF171" i="1"/>
  <c r="BH171" i="1"/>
  <c r="BE172" i="1"/>
  <c r="BF172" i="1"/>
  <c r="BH172" i="1"/>
  <c r="BE173" i="1"/>
  <c r="BF173" i="1"/>
  <c r="BH173" i="1"/>
  <c r="BE174" i="1"/>
  <c r="BF174" i="1"/>
  <c r="BH174" i="1"/>
  <c r="BE175" i="1"/>
  <c r="BF175" i="1"/>
  <c r="BH175" i="1"/>
  <c r="BE176" i="1"/>
  <c r="BF176" i="1"/>
  <c r="BH176" i="1"/>
  <c r="BE177" i="1"/>
  <c r="BF177" i="1"/>
  <c r="BH177" i="1"/>
  <c r="BE178" i="1"/>
  <c r="BF178" i="1"/>
  <c r="BH178" i="1"/>
  <c r="BE179" i="1"/>
  <c r="BF179" i="1"/>
  <c r="BH179" i="1"/>
  <c r="BE180" i="1"/>
  <c r="BF180" i="1"/>
  <c r="BH180" i="1"/>
  <c r="BE181" i="1"/>
  <c r="BF181" i="1"/>
  <c r="BH181" i="1"/>
  <c r="BE182" i="1"/>
  <c r="BF182" i="1"/>
  <c r="BH182" i="1"/>
  <c r="BE183" i="1"/>
  <c r="BF183" i="1"/>
  <c r="BH183" i="1"/>
  <c r="BE184" i="1"/>
  <c r="BF184" i="1"/>
  <c r="BH184" i="1"/>
  <c r="BE185" i="1"/>
  <c r="BF185" i="1"/>
  <c r="BH185" i="1"/>
  <c r="BE186" i="1"/>
  <c r="BF186" i="1"/>
  <c r="BH186" i="1"/>
  <c r="BE187" i="1"/>
  <c r="BF187" i="1"/>
  <c r="BH187" i="1"/>
  <c r="BE188" i="1"/>
  <c r="BF188" i="1"/>
  <c r="BH188" i="1"/>
  <c r="BE189" i="1"/>
  <c r="BF189" i="1"/>
  <c r="BH189" i="1"/>
  <c r="BE190" i="1"/>
  <c r="BF190" i="1"/>
  <c r="BH190" i="1"/>
  <c r="BE191" i="1"/>
  <c r="BF191" i="1"/>
  <c r="BH191" i="1"/>
  <c r="BE192" i="1"/>
  <c r="BF192" i="1"/>
  <c r="BH192" i="1"/>
  <c r="BE193" i="1"/>
  <c r="BF193" i="1"/>
  <c r="BH193" i="1"/>
  <c r="BE194" i="1"/>
  <c r="BF194" i="1"/>
  <c r="BH194" i="1"/>
  <c r="BE195" i="1"/>
  <c r="BF195" i="1"/>
  <c r="BH195" i="1"/>
  <c r="BE196" i="1"/>
  <c r="BF196" i="1"/>
  <c r="BH196" i="1"/>
  <c r="BE197" i="1"/>
  <c r="BF197" i="1"/>
  <c r="BH197" i="1"/>
  <c r="BE198" i="1"/>
  <c r="BF198" i="1"/>
  <c r="BH198" i="1"/>
  <c r="BE199" i="1"/>
  <c r="BF199" i="1"/>
  <c r="BH199" i="1"/>
  <c r="BE200" i="1"/>
  <c r="BF200" i="1"/>
  <c r="BH200" i="1"/>
  <c r="BE201" i="1"/>
  <c r="BF201" i="1"/>
  <c r="BH201" i="1"/>
  <c r="BE202" i="1"/>
  <c r="BF202" i="1"/>
  <c r="BH202" i="1"/>
  <c r="BE203" i="1"/>
  <c r="BF203" i="1"/>
  <c r="BH203" i="1"/>
  <c r="BE204" i="1"/>
  <c r="BF204" i="1"/>
  <c r="BH204" i="1"/>
  <c r="BE205" i="1"/>
  <c r="BF205" i="1"/>
  <c r="BH205" i="1"/>
  <c r="BE206" i="1"/>
  <c r="BF206" i="1"/>
  <c r="BH206" i="1"/>
  <c r="BE207" i="1"/>
  <c r="BF207" i="1"/>
  <c r="BH207" i="1"/>
  <c r="BE208" i="1"/>
  <c r="BF208" i="1"/>
  <c r="BH208" i="1"/>
  <c r="BE209" i="1"/>
  <c r="BF209" i="1"/>
  <c r="BH209" i="1"/>
  <c r="BE210" i="1"/>
  <c r="BF210" i="1"/>
  <c r="BH210" i="1"/>
  <c r="BE211" i="1"/>
  <c r="BF211" i="1"/>
  <c r="BH211" i="1"/>
  <c r="BE212" i="1"/>
  <c r="BF212" i="1"/>
  <c r="BH212" i="1"/>
  <c r="BE213" i="1"/>
  <c r="BF213" i="1"/>
  <c r="BH213" i="1"/>
  <c r="BE214" i="1"/>
  <c r="BF214" i="1"/>
  <c r="BH214" i="1"/>
  <c r="BE215" i="1"/>
  <c r="BF215" i="1"/>
  <c r="BH215" i="1"/>
  <c r="BE216" i="1"/>
  <c r="BF216" i="1"/>
  <c r="BH216" i="1"/>
  <c r="BE217" i="1"/>
  <c r="BF217" i="1"/>
  <c r="BH217" i="1"/>
  <c r="BE218" i="1"/>
  <c r="BF218" i="1"/>
  <c r="BH218" i="1"/>
  <c r="BE219" i="1"/>
  <c r="BF219" i="1"/>
  <c r="BH219" i="1"/>
  <c r="BE220" i="1"/>
  <c r="BF220" i="1"/>
  <c r="BH220" i="1"/>
  <c r="BE221" i="1"/>
  <c r="BF221" i="1"/>
  <c r="BH221" i="1"/>
  <c r="BE222" i="1"/>
  <c r="BF222" i="1"/>
  <c r="BH222" i="1"/>
  <c r="BE223" i="1"/>
  <c r="BF223" i="1"/>
  <c r="BH223" i="1"/>
  <c r="BE224" i="1"/>
  <c r="BF224" i="1"/>
  <c r="BH224" i="1"/>
  <c r="BE225" i="1"/>
  <c r="BF225" i="1"/>
  <c r="BH225" i="1"/>
  <c r="BE226" i="1"/>
  <c r="BF226" i="1"/>
  <c r="BH226" i="1"/>
  <c r="BE227" i="1"/>
  <c r="BF227" i="1"/>
  <c r="BH227" i="1"/>
  <c r="BE228" i="1"/>
  <c r="BF228" i="1"/>
  <c r="BH228" i="1"/>
  <c r="BE229" i="1"/>
  <c r="BF229" i="1"/>
  <c r="BH229" i="1"/>
  <c r="BE230" i="1"/>
  <c r="BF230" i="1"/>
  <c r="BH230" i="1"/>
  <c r="BE231" i="1"/>
  <c r="BF231" i="1"/>
  <c r="BH231" i="1"/>
  <c r="BE232" i="1"/>
  <c r="BF232" i="1"/>
  <c r="BH232" i="1"/>
  <c r="BE233" i="1"/>
  <c r="BF233" i="1"/>
  <c r="BH233" i="1"/>
  <c r="BE234" i="1"/>
  <c r="BF234" i="1"/>
  <c r="BH234" i="1"/>
  <c r="BE235" i="1"/>
  <c r="BF235" i="1"/>
  <c r="BH235" i="1"/>
  <c r="BE236" i="1"/>
  <c r="BF236" i="1"/>
  <c r="BH236" i="1"/>
  <c r="BE237" i="1"/>
  <c r="BF237" i="1"/>
  <c r="BH237" i="1"/>
  <c r="BE238" i="1"/>
  <c r="BF238" i="1"/>
  <c r="BH238" i="1"/>
  <c r="BE239" i="1"/>
  <c r="BF239" i="1"/>
  <c r="BH239" i="1"/>
  <c r="BE240" i="1"/>
  <c r="BF240" i="1"/>
  <c r="BH240" i="1"/>
  <c r="BE241" i="1"/>
  <c r="BF241" i="1"/>
  <c r="BH241" i="1"/>
  <c r="BE242" i="1"/>
  <c r="BF242" i="1"/>
  <c r="BH242" i="1"/>
  <c r="BE243" i="1"/>
  <c r="BF243" i="1"/>
  <c r="BH243" i="1"/>
  <c r="BE244" i="1"/>
  <c r="BF244" i="1"/>
  <c r="BH244" i="1"/>
  <c r="BE245" i="1"/>
  <c r="BF245" i="1"/>
  <c r="BH245" i="1"/>
  <c r="BE246" i="1"/>
  <c r="BF246" i="1"/>
  <c r="BH246" i="1"/>
  <c r="BE247" i="1"/>
  <c r="BF247" i="1"/>
  <c r="BH247" i="1"/>
  <c r="BE248" i="1"/>
  <c r="BF248" i="1"/>
  <c r="BH248" i="1"/>
  <c r="BE249" i="1"/>
  <c r="BF249" i="1"/>
  <c r="BH249" i="1"/>
  <c r="BE250" i="1"/>
  <c r="BF250" i="1"/>
  <c r="BH250" i="1"/>
  <c r="BE251" i="1"/>
  <c r="BF251" i="1"/>
  <c r="BH251" i="1"/>
  <c r="BE252" i="1"/>
  <c r="BF252" i="1"/>
  <c r="BH252" i="1"/>
  <c r="BE253" i="1"/>
  <c r="BF253" i="1"/>
  <c r="BH253" i="1"/>
  <c r="BE254" i="1"/>
  <c r="BF254" i="1"/>
  <c r="BH254" i="1"/>
  <c r="BE255" i="1"/>
  <c r="BF255" i="1"/>
  <c r="BH255" i="1"/>
  <c r="BE256" i="1"/>
  <c r="BF256" i="1"/>
  <c r="BH256" i="1"/>
  <c r="BE257" i="1"/>
  <c r="BF257" i="1"/>
  <c r="BH257" i="1"/>
  <c r="BE258" i="1"/>
  <c r="BF258" i="1"/>
  <c r="BH258" i="1"/>
  <c r="BE259" i="1"/>
  <c r="BF259" i="1"/>
  <c r="BH259" i="1"/>
  <c r="BE260" i="1"/>
  <c r="BF260" i="1"/>
  <c r="BH260" i="1"/>
  <c r="BE261" i="1"/>
  <c r="BF261" i="1"/>
  <c r="BH261" i="1"/>
  <c r="BE262" i="1"/>
  <c r="BF262" i="1"/>
  <c r="BH262" i="1"/>
  <c r="BE263" i="1"/>
  <c r="BF263" i="1"/>
  <c r="BH263" i="1"/>
  <c r="BE264" i="1"/>
  <c r="BF264" i="1"/>
  <c r="BH264" i="1"/>
  <c r="BE265" i="1"/>
  <c r="BF265" i="1"/>
  <c r="BH265" i="1"/>
  <c r="BE266" i="1"/>
  <c r="BF266" i="1"/>
  <c r="BH266" i="1"/>
  <c r="BE267" i="1"/>
  <c r="BF267" i="1"/>
  <c r="BH267" i="1"/>
  <c r="BE268" i="1"/>
  <c r="BF268" i="1"/>
  <c r="BH268" i="1"/>
  <c r="BE269" i="1"/>
  <c r="BF269" i="1"/>
  <c r="BH269" i="1"/>
  <c r="BE270" i="1"/>
  <c r="BF270" i="1"/>
  <c r="BH270" i="1"/>
  <c r="BE271" i="1"/>
  <c r="BF271" i="1"/>
  <c r="BH271" i="1"/>
  <c r="BE272" i="1"/>
  <c r="BF272" i="1"/>
  <c r="BH272" i="1"/>
  <c r="BE273" i="1"/>
  <c r="BF273" i="1"/>
  <c r="BH273" i="1"/>
  <c r="BE274" i="1"/>
  <c r="BF274" i="1"/>
  <c r="BH274" i="1"/>
  <c r="BE275" i="1"/>
  <c r="BF275" i="1"/>
  <c r="BH275" i="1"/>
  <c r="BE276" i="1"/>
  <c r="BF276" i="1"/>
  <c r="BH276" i="1"/>
  <c r="BE277" i="1"/>
  <c r="BF277" i="1"/>
  <c r="BH277" i="1"/>
  <c r="BE278" i="1"/>
  <c r="BF278" i="1"/>
  <c r="BH278" i="1"/>
  <c r="BE279" i="1"/>
  <c r="BF279" i="1"/>
  <c r="BH279" i="1"/>
  <c r="BE280" i="1"/>
  <c r="BF280" i="1"/>
  <c r="BH280" i="1"/>
  <c r="BE281" i="1"/>
  <c r="BF281" i="1"/>
  <c r="BH281" i="1"/>
  <c r="BE282" i="1"/>
  <c r="BF282" i="1"/>
  <c r="BH282" i="1"/>
  <c r="BE283" i="1"/>
  <c r="BF283" i="1"/>
  <c r="BH283" i="1"/>
  <c r="BE284" i="1"/>
  <c r="BF284" i="1"/>
  <c r="BH284" i="1"/>
  <c r="BE285" i="1"/>
  <c r="BF285" i="1"/>
  <c r="BH285" i="1"/>
  <c r="BE286" i="1"/>
  <c r="BF286" i="1"/>
  <c r="BH286" i="1"/>
  <c r="BE287" i="1"/>
  <c r="BF287" i="1"/>
  <c r="BH287" i="1"/>
  <c r="BE288" i="1"/>
  <c r="BF288" i="1"/>
  <c r="BH288" i="1"/>
  <c r="BE289" i="1"/>
  <c r="BF289" i="1"/>
  <c r="BH289" i="1"/>
  <c r="BE290" i="1"/>
  <c r="BF290" i="1"/>
  <c r="BH290" i="1"/>
  <c r="BE291" i="1"/>
  <c r="BF291" i="1"/>
  <c r="BH291" i="1"/>
  <c r="BE292" i="1"/>
  <c r="BF292" i="1"/>
  <c r="BH292" i="1"/>
  <c r="BE293" i="1"/>
  <c r="BF293" i="1"/>
  <c r="BH293" i="1"/>
  <c r="BE294" i="1"/>
  <c r="BF294" i="1"/>
  <c r="BH294" i="1"/>
  <c r="BE295" i="1"/>
  <c r="BF295" i="1"/>
  <c r="BH295" i="1"/>
  <c r="BE296" i="1"/>
  <c r="BF296" i="1"/>
  <c r="BH296" i="1"/>
  <c r="BE297" i="1"/>
  <c r="BF297" i="1"/>
  <c r="BH297" i="1"/>
  <c r="BE298" i="1"/>
  <c r="BF298" i="1"/>
  <c r="BH298" i="1"/>
  <c r="BE299" i="1"/>
  <c r="BF299" i="1"/>
  <c r="BH299" i="1"/>
  <c r="BE300" i="1"/>
  <c r="BF300" i="1"/>
  <c r="BH300" i="1"/>
  <c r="BE301" i="1"/>
  <c r="BF301" i="1"/>
  <c r="BH301" i="1"/>
  <c r="BE302" i="1"/>
  <c r="BF302" i="1"/>
  <c r="BH302" i="1"/>
  <c r="BE303" i="1"/>
  <c r="BF303" i="1"/>
  <c r="BH303" i="1"/>
  <c r="BE304" i="1"/>
  <c r="BF304" i="1"/>
  <c r="BH304" i="1"/>
  <c r="BE305" i="1"/>
  <c r="BF305" i="1"/>
  <c r="BH305" i="1"/>
  <c r="BE306" i="1"/>
  <c r="BF306" i="1"/>
  <c r="BH306" i="1"/>
  <c r="BE307" i="1"/>
  <c r="BF307" i="1"/>
  <c r="BH307" i="1"/>
  <c r="BE308" i="1"/>
  <c r="BF308" i="1"/>
  <c r="BH308" i="1"/>
  <c r="BE309" i="1"/>
  <c r="BF309" i="1"/>
  <c r="BH309" i="1"/>
  <c r="BE310" i="1"/>
  <c r="BF310" i="1"/>
  <c r="BH310" i="1"/>
  <c r="BE311" i="1"/>
  <c r="BF311" i="1"/>
  <c r="BH311" i="1"/>
  <c r="BE312" i="1"/>
  <c r="BF312" i="1"/>
  <c r="BH312" i="1"/>
  <c r="BE313" i="1"/>
  <c r="BF313" i="1"/>
  <c r="BH313" i="1"/>
  <c r="BE314" i="1"/>
  <c r="BF314" i="1"/>
  <c r="BH314" i="1"/>
  <c r="BE315" i="1"/>
  <c r="BF315" i="1"/>
  <c r="BH315" i="1"/>
  <c r="BE316" i="1"/>
  <c r="BF316" i="1"/>
  <c r="BH316" i="1"/>
  <c r="BE317" i="1"/>
  <c r="BF317" i="1"/>
  <c r="BH317" i="1"/>
  <c r="BE318" i="1"/>
  <c r="BF318" i="1"/>
  <c r="BH318" i="1"/>
  <c r="BE319" i="1"/>
  <c r="BB319" i="1" s="1"/>
  <c r="BF319" i="1"/>
  <c r="BH319" i="1"/>
  <c r="BE320" i="1"/>
  <c r="BF320" i="1"/>
  <c r="BH320" i="1"/>
  <c r="BE321" i="1"/>
  <c r="BF321" i="1"/>
  <c r="BH321" i="1"/>
  <c r="BE322" i="1"/>
  <c r="BF322" i="1"/>
  <c r="BH322" i="1"/>
  <c r="BE323" i="1"/>
  <c r="BB323" i="1" s="1"/>
  <c r="BF323" i="1"/>
  <c r="BH323" i="1"/>
  <c r="BE324" i="1"/>
  <c r="BF324" i="1"/>
  <c r="BH324" i="1"/>
  <c r="BE325" i="1"/>
  <c r="BF325" i="1"/>
  <c r="BH325" i="1"/>
  <c r="BE326" i="1"/>
  <c r="BF326" i="1"/>
  <c r="BH326" i="1"/>
  <c r="BE327" i="1"/>
  <c r="BB327" i="1" s="1"/>
  <c r="BF327" i="1"/>
  <c r="BH327" i="1"/>
  <c r="BE328" i="1"/>
  <c r="BF328" i="1"/>
  <c r="BH328" i="1"/>
  <c r="BE329" i="1"/>
  <c r="BF329" i="1"/>
  <c r="BH329" i="1"/>
  <c r="BE330" i="1"/>
  <c r="BF330" i="1"/>
  <c r="BH330" i="1"/>
  <c r="BE331" i="1"/>
  <c r="BB331" i="1" s="1"/>
  <c r="BF331" i="1"/>
  <c r="BH331" i="1"/>
  <c r="BE332" i="1"/>
  <c r="BF332" i="1"/>
  <c r="BH332" i="1"/>
  <c r="BE333" i="1"/>
  <c r="BF333" i="1"/>
  <c r="BH333" i="1"/>
  <c r="BE334" i="1"/>
  <c r="BF334" i="1"/>
  <c r="BH334" i="1"/>
  <c r="BE335" i="1"/>
  <c r="BB335" i="1" s="1"/>
  <c r="BF335" i="1"/>
  <c r="BH335" i="1"/>
  <c r="BE336" i="1"/>
  <c r="BF336" i="1"/>
  <c r="BH336" i="1"/>
  <c r="BE337" i="1"/>
  <c r="BF337" i="1"/>
  <c r="BH337" i="1"/>
  <c r="BE338" i="1"/>
  <c r="BF338" i="1"/>
  <c r="BH338" i="1"/>
  <c r="BE339" i="1"/>
  <c r="BB339" i="1" s="1"/>
  <c r="BF339" i="1"/>
  <c r="BH339" i="1"/>
  <c r="BE340" i="1"/>
  <c r="BF340" i="1"/>
  <c r="BH340" i="1"/>
  <c r="BE341" i="1"/>
  <c r="BF341" i="1"/>
  <c r="BH341" i="1"/>
  <c r="BE342" i="1"/>
  <c r="BF342" i="1"/>
  <c r="BH342" i="1"/>
  <c r="BE343" i="1"/>
  <c r="BB343" i="1" s="1"/>
  <c r="BF343" i="1"/>
  <c r="BH343" i="1"/>
  <c r="BE344" i="1"/>
  <c r="BF344" i="1"/>
  <c r="BH344" i="1"/>
  <c r="BE345" i="1"/>
  <c r="BF345" i="1"/>
  <c r="BH345" i="1"/>
  <c r="BE346" i="1"/>
  <c r="BF346" i="1"/>
  <c r="BH346" i="1"/>
  <c r="BE347" i="1"/>
  <c r="BB347" i="1" s="1"/>
  <c r="BF347" i="1"/>
  <c r="BH347" i="1"/>
  <c r="BE348" i="1"/>
  <c r="BF348" i="1"/>
  <c r="BH348" i="1"/>
  <c r="BE349" i="1"/>
  <c r="BF349" i="1"/>
  <c r="BH349" i="1"/>
  <c r="BE350" i="1"/>
  <c r="BF350" i="1"/>
  <c r="BH350" i="1"/>
  <c r="BE351" i="1"/>
  <c r="BB351" i="1" s="1"/>
  <c r="BF351" i="1"/>
  <c r="BH351" i="1"/>
  <c r="BE352" i="1"/>
  <c r="BF352" i="1"/>
  <c r="BH352" i="1"/>
  <c r="BE353" i="1"/>
  <c r="BF353" i="1"/>
  <c r="BH353" i="1"/>
  <c r="BE354" i="1"/>
  <c r="BF354" i="1"/>
  <c r="BH354" i="1"/>
  <c r="BE355" i="1"/>
  <c r="BB355" i="1" s="1"/>
  <c r="BF355" i="1"/>
  <c r="BH355" i="1"/>
  <c r="BE356" i="1"/>
  <c r="BF356" i="1"/>
  <c r="BH356" i="1"/>
  <c r="BE357" i="1"/>
  <c r="BF357" i="1"/>
  <c r="BH357" i="1"/>
  <c r="BE358" i="1"/>
  <c r="BF358" i="1"/>
  <c r="BH358" i="1"/>
  <c r="BE359" i="1"/>
  <c r="BB359" i="1" s="1"/>
  <c r="BF359" i="1"/>
  <c r="BH359" i="1"/>
  <c r="BE360" i="1"/>
  <c r="BF360" i="1"/>
  <c r="BH360" i="1"/>
  <c r="BE361" i="1"/>
  <c r="BF361" i="1"/>
  <c r="BH361" i="1"/>
  <c r="BE362" i="1"/>
  <c r="BF362" i="1"/>
  <c r="BH362" i="1"/>
  <c r="BE363" i="1"/>
  <c r="BB363" i="1" s="1"/>
  <c r="BF363" i="1"/>
  <c r="BH363" i="1"/>
  <c r="BE364" i="1"/>
  <c r="BF364" i="1"/>
  <c r="BH364" i="1"/>
  <c r="BE365" i="1"/>
  <c r="BF365" i="1"/>
  <c r="BH365" i="1"/>
  <c r="BE366" i="1"/>
  <c r="BF366" i="1"/>
  <c r="BH366" i="1"/>
  <c r="BE367" i="1"/>
  <c r="BB367" i="1" s="1"/>
  <c r="BF367" i="1"/>
  <c r="BH367" i="1"/>
  <c r="BE368" i="1"/>
  <c r="BF368" i="1"/>
  <c r="BH368" i="1"/>
  <c r="BE369" i="1"/>
  <c r="BF369" i="1"/>
  <c r="BH369" i="1"/>
  <c r="BE370" i="1"/>
  <c r="BF370" i="1"/>
  <c r="BH370" i="1"/>
  <c r="BE371" i="1"/>
  <c r="BB371" i="1" s="1"/>
  <c r="BF371" i="1"/>
  <c r="BH371" i="1"/>
  <c r="BE372" i="1"/>
  <c r="BF372" i="1"/>
  <c r="BH372" i="1"/>
  <c r="BE373" i="1"/>
  <c r="BF373" i="1"/>
  <c r="BH373" i="1"/>
  <c r="BE374" i="1"/>
  <c r="BF374" i="1"/>
  <c r="BH374" i="1"/>
  <c r="BE375" i="1"/>
  <c r="BB375" i="1" s="1"/>
  <c r="BF375" i="1"/>
  <c r="BH375" i="1"/>
  <c r="BE376" i="1"/>
  <c r="BF376" i="1"/>
  <c r="BH376" i="1"/>
  <c r="BE377" i="1"/>
  <c r="BF377" i="1"/>
  <c r="BH377" i="1"/>
  <c r="BE378" i="1"/>
  <c r="BF378" i="1"/>
  <c r="BH378" i="1"/>
  <c r="BE379" i="1"/>
  <c r="BB379" i="1" s="1"/>
  <c r="BF379" i="1"/>
  <c r="BH379" i="1"/>
  <c r="BE380" i="1"/>
  <c r="BF380" i="1"/>
  <c r="BH380" i="1"/>
  <c r="BE381" i="1"/>
  <c r="BF381" i="1"/>
  <c r="BH381" i="1"/>
  <c r="BE382" i="1"/>
  <c r="BF382" i="1"/>
  <c r="BH382" i="1"/>
  <c r="BE383" i="1"/>
  <c r="BB383" i="1" s="1"/>
  <c r="BF383" i="1"/>
  <c r="BH383" i="1"/>
  <c r="BE384" i="1"/>
  <c r="BF384" i="1"/>
  <c r="BH384" i="1"/>
  <c r="BE385" i="1"/>
  <c r="BF385" i="1"/>
  <c r="BH385" i="1"/>
  <c r="BE386" i="1"/>
  <c r="BF386" i="1"/>
  <c r="BH386" i="1"/>
  <c r="BE387" i="1"/>
  <c r="BB387" i="1" s="1"/>
  <c r="BF387" i="1"/>
  <c r="BH387" i="1"/>
  <c r="BE388" i="1"/>
  <c r="BF388" i="1"/>
  <c r="BH388" i="1"/>
  <c r="BE389" i="1"/>
  <c r="BF389" i="1"/>
  <c r="BH389" i="1"/>
  <c r="BE390" i="1"/>
  <c r="BF390" i="1"/>
  <c r="BH390" i="1"/>
  <c r="BE391" i="1"/>
  <c r="BB391" i="1" s="1"/>
  <c r="BF391" i="1"/>
  <c r="BH391" i="1"/>
  <c r="BE392" i="1"/>
  <c r="BF392" i="1"/>
  <c r="BH392" i="1"/>
  <c r="BE393" i="1"/>
  <c r="BF393" i="1"/>
  <c r="BH393" i="1"/>
  <c r="BE394" i="1"/>
  <c r="BF394" i="1"/>
  <c r="BH394" i="1"/>
  <c r="BE395" i="1"/>
  <c r="BB395" i="1" s="1"/>
  <c r="BF395" i="1"/>
  <c r="BH395" i="1"/>
  <c r="BE396" i="1"/>
  <c r="BF396" i="1"/>
  <c r="BH396" i="1"/>
  <c r="BE397" i="1"/>
  <c r="BF397" i="1"/>
  <c r="BH397" i="1"/>
  <c r="BE398" i="1"/>
  <c r="BF398" i="1"/>
  <c r="BH398" i="1"/>
  <c r="BE399" i="1"/>
  <c r="BB399" i="1" s="1"/>
  <c r="BF399" i="1"/>
  <c r="BH399" i="1"/>
  <c r="BE400" i="1"/>
  <c r="BF400" i="1"/>
  <c r="BH400" i="1"/>
  <c r="BE401" i="1"/>
  <c r="BF401" i="1"/>
  <c r="BH401" i="1"/>
  <c r="BE402" i="1"/>
  <c r="BF402" i="1"/>
  <c r="BH402" i="1"/>
  <c r="BE403" i="1"/>
  <c r="BB403" i="1" s="1"/>
  <c r="BF403" i="1"/>
  <c r="BH403" i="1"/>
  <c r="BE404" i="1"/>
  <c r="BF404" i="1"/>
  <c r="BH404" i="1"/>
  <c r="BE405" i="1"/>
  <c r="BF405" i="1"/>
  <c r="BH405" i="1"/>
  <c r="BE406" i="1"/>
  <c r="BF406" i="1"/>
  <c r="BH406" i="1"/>
  <c r="BE407" i="1"/>
  <c r="BB407" i="1" s="1"/>
  <c r="BF407" i="1"/>
  <c r="BH407" i="1"/>
  <c r="BE408" i="1"/>
  <c r="BF408" i="1"/>
  <c r="BH408" i="1"/>
  <c r="BE409" i="1"/>
  <c r="BF409" i="1"/>
  <c r="BH409" i="1"/>
  <c r="BE410" i="1"/>
  <c r="BF410" i="1"/>
  <c r="BH410" i="1"/>
  <c r="BE411" i="1"/>
  <c r="BB411" i="1" s="1"/>
  <c r="BF411" i="1"/>
  <c r="BH411" i="1"/>
  <c r="BE412" i="1"/>
  <c r="BF412" i="1"/>
  <c r="BH412" i="1"/>
  <c r="BE413" i="1"/>
  <c r="BF413" i="1"/>
  <c r="BH413" i="1"/>
  <c r="BE414" i="1"/>
  <c r="BF414" i="1"/>
  <c r="BH414" i="1"/>
  <c r="BE415" i="1"/>
  <c r="BB415" i="1" s="1"/>
  <c r="BF415" i="1"/>
  <c r="BH415" i="1"/>
  <c r="BE416" i="1"/>
  <c r="BF416" i="1"/>
  <c r="BH416" i="1"/>
  <c r="BE417" i="1"/>
  <c r="BF417" i="1"/>
  <c r="BH417" i="1"/>
  <c r="BE418" i="1"/>
  <c r="BF418" i="1"/>
  <c r="BH418" i="1"/>
  <c r="BE419" i="1"/>
  <c r="BB419" i="1" s="1"/>
  <c r="BF419" i="1"/>
  <c r="BH419" i="1"/>
  <c r="BE420" i="1"/>
  <c r="BF420" i="1"/>
  <c r="BH420" i="1"/>
  <c r="BE421" i="1"/>
  <c r="BF421" i="1"/>
  <c r="BH421" i="1"/>
  <c r="BE422" i="1"/>
  <c r="BF422" i="1"/>
  <c r="BH422" i="1"/>
  <c r="BE423" i="1"/>
  <c r="BB423" i="1" s="1"/>
  <c r="BF423" i="1"/>
  <c r="BH423" i="1"/>
  <c r="BE424" i="1"/>
  <c r="BF424" i="1"/>
  <c r="BH424" i="1"/>
  <c r="BE425" i="1"/>
  <c r="BF425" i="1"/>
  <c r="BH425" i="1"/>
  <c r="BE426" i="1"/>
  <c r="BF426" i="1"/>
  <c r="BH426" i="1"/>
  <c r="BE427" i="1"/>
  <c r="BB427" i="1" s="1"/>
  <c r="BF427" i="1"/>
  <c r="BH427" i="1"/>
  <c r="BE428" i="1"/>
  <c r="BF428" i="1"/>
  <c r="BH428" i="1"/>
  <c r="BE429" i="1"/>
  <c r="BF429" i="1"/>
  <c r="BH429" i="1"/>
  <c r="BE430" i="1"/>
  <c r="BF430" i="1"/>
  <c r="BH430" i="1"/>
  <c r="BE431" i="1"/>
  <c r="BB431" i="1" s="1"/>
  <c r="BF431" i="1"/>
  <c r="BH431" i="1"/>
  <c r="BE432" i="1"/>
  <c r="BF432" i="1"/>
  <c r="BH432" i="1"/>
  <c r="BE433" i="1"/>
  <c r="BF433" i="1"/>
  <c r="BH433" i="1"/>
  <c r="BE434" i="1"/>
  <c r="BF434" i="1"/>
  <c r="BH434" i="1"/>
  <c r="BE435" i="1"/>
  <c r="BB435" i="1" s="1"/>
  <c r="BF435" i="1"/>
  <c r="BH435" i="1"/>
  <c r="BE436" i="1"/>
  <c r="BF436" i="1"/>
  <c r="BH436" i="1"/>
  <c r="BE437" i="1"/>
  <c r="BF437" i="1"/>
  <c r="BH437" i="1"/>
  <c r="BE438" i="1"/>
  <c r="BF438" i="1"/>
  <c r="BH438" i="1"/>
  <c r="BE439" i="1"/>
  <c r="BB439" i="1" s="1"/>
  <c r="BF439" i="1"/>
  <c r="BH439" i="1"/>
  <c r="BE440" i="1"/>
  <c r="BF440" i="1"/>
  <c r="BH440" i="1"/>
  <c r="BE441" i="1"/>
  <c r="BF441" i="1"/>
  <c r="BH441" i="1"/>
  <c r="BE442" i="1"/>
  <c r="BF442" i="1"/>
  <c r="BH442" i="1"/>
  <c r="BE443" i="1"/>
  <c r="BB443" i="1" s="1"/>
  <c r="BF443" i="1"/>
  <c r="BH443" i="1"/>
  <c r="BE444" i="1"/>
  <c r="BF444" i="1"/>
  <c r="BH444" i="1"/>
  <c r="BE445" i="1"/>
  <c r="BF445" i="1"/>
  <c r="BH445" i="1"/>
  <c r="BE446" i="1"/>
  <c r="BF446" i="1"/>
  <c r="BH446" i="1"/>
  <c r="BE447" i="1"/>
  <c r="BB447" i="1" s="1"/>
  <c r="BF447" i="1"/>
  <c r="BH447" i="1"/>
  <c r="BE448" i="1"/>
  <c r="BF448" i="1"/>
  <c r="BH448" i="1"/>
  <c r="BE449" i="1"/>
  <c r="BF449" i="1"/>
  <c r="BH449" i="1"/>
  <c r="BE450" i="1"/>
  <c r="BF450" i="1"/>
  <c r="BH450" i="1"/>
  <c r="BE451" i="1"/>
  <c r="BB451" i="1" s="1"/>
  <c r="BF451" i="1"/>
  <c r="BH451" i="1"/>
  <c r="BE452" i="1"/>
  <c r="BF452" i="1"/>
  <c r="BH452" i="1"/>
  <c r="BE453" i="1"/>
  <c r="BF453" i="1"/>
  <c r="BH453" i="1"/>
  <c r="BE454" i="1"/>
  <c r="BF454" i="1"/>
  <c r="BH454" i="1"/>
  <c r="BE455" i="1"/>
  <c r="BB455" i="1" s="1"/>
  <c r="BF455" i="1"/>
  <c r="BH455" i="1"/>
  <c r="BE456" i="1"/>
  <c r="BF456" i="1"/>
  <c r="BH456" i="1"/>
  <c r="BE457" i="1"/>
  <c r="BF457" i="1"/>
  <c r="BH457" i="1"/>
  <c r="BE458" i="1"/>
  <c r="BF458" i="1"/>
  <c r="BH458" i="1"/>
  <c r="BE459" i="1"/>
  <c r="BB459" i="1" s="1"/>
  <c r="BF459" i="1"/>
  <c r="BH459" i="1"/>
  <c r="BE460" i="1"/>
  <c r="BF460" i="1"/>
  <c r="BH460" i="1"/>
  <c r="BE461" i="1"/>
  <c r="BF461" i="1"/>
  <c r="BH461" i="1"/>
  <c r="BE462" i="1"/>
  <c r="BF462" i="1"/>
  <c r="BH462" i="1"/>
  <c r="BE463" i="1"/>
  <c r="BB463" i="1" s="1"/>
  <c r="BF463" i="1"/>
  <c r="BH463" i="1"/>
  <c r="BE464" i="1"/>
  <c r="BF464" i="1"/>
  <c r="BH464" i="1"/>
  <c r="BE465" i="1"/>
  <c r="BF465" i="1"/>
  <c r="BH465" i="1"/>
  <c r="BE466" i="1"/>
  <c r="BF466" i="1"/>
  <c r="BH466" i="1"/>
  <c r="BE467" i="1"/>
  <c r="BB467" i="1" s="1"/>
  <c r="BF467" i="1"/>
  <c r="BH467" i="1"/>
  <c r="BE468" i="1"/>
  <c r="BF468" i="1"/>
  <c r="BH468" i="1"/>
  <c r="BE469" i="1"/>
  <c r="BF469" i="1"/>
  <c r="BH469" i="1"/>
  <c r="BE470" i="1"/>
  <c r="BF470" i="1"/>
  <c r="BH470" i="1"/>
  <c r="BE471" i="1"/>
  <c r="BB471" i="1" s="1"/>
  <c r="BF471" i="1"/>
  <c r="BH471" i="1"/>
  <c r="BE472" i="1"/>
  <c r="BF472" i="1"/>
  <c r="BH472" i="1"/>
  <c r="BE473" i="1"/>
  <c r="BF473" i="1"/>
  <c r="BH473" i="1"/>
  <c r="BE474" i="1"/>
  <c r="BF474" i="1"/>
  <c r="BH474" i="1"/>
  <c r="BE475" i="1"/>
  <c r="BB475" i="1" s="1"/>
  <c r="BF475" i="1"/>
  <c r="BH475" i="1"/>
  <c r="BE476" i="1"/>
  <c r="BF476" i="1"/>
  <c r="BH476" i="1"/>
  <c r="BE477" i="1"/>
  <c r="BF477" i="1"/>
  <c r="BH477" i="1"/>
  <c r="BE478" i="1"/>
  <c r="BF478" i="1"/>
  <c r="BH478" i="1"/>
  <c r="BE479" i="1"/>
  <c r="BB479" i="1" s="1"/>
  <c r="BF479" i="1"/>
  <c r="BH479" i="1"/>
  <c r="BE480" i="1"/>
  <c r="BF480" i="1"/>
  <c r="BH480" i="1"/>
  <c r="BE481" i="1"/>
  <c r="BF481" i="1"/>
  <c r="BH481" i="1"/>
  <c r="BE482" i="1"/>
  <c r="BF482" i="1"/>
  <c r="BH482" i="1"/>
  <c r="BE483" i="1"/>
  <c r="BB483" i="1" s="1"/>
  <c r="BF483" i="1"/>
  <c r="BH483" i="1"/>
  <c r="BE484" i="1"/>
  <c r="BF484" i="1"/>
  <c r="BH484" i="1"/>
  <c r="BE485" i="1"/>
  <c r="BF485" i="1"/>
  <c r="BH485" i="1"/>
  <c r="BE486" i="1"/>
  <c r="BF486" i="1"/>
  <c r="BH486" i="1"/>
  <c r="BE487" i="1"/>
  <c r="BB487" i="1" s="1"/>
  <c r="BF487" i="1"/>
  <c r="BH487" i="1"/>
  <c r="BE488" i="1"/>
  <c r="BF488" i="1"/>
  <c r="BH488" i="1"/>
  <c r="BE489" i="1"/>
  <c r="BF489" i="1"/>
  <c r="BH489" i="1"/>
  <c r="BE490" i="1"/>
  <c r="BF490" i="1"/>
  <c r="BH490" i="1"/>
  <c r="BE491" i="1"/>
  <c r="BB491" i="1" s="1"/>
  <c r="BF491" i="1"/>
  <c r="BH491" i="1"/>
  <c r="BE492" i="1"/>
  <c r="BF492" i="1"/>
  <c r="BH492" i="1"/>
  <c r="BE493" i="1"/>
  <c r="BF493" i="1"/>
  <c r="BH493" i="1"/>
  <c r="BE494" i="1"/>
  <c r="BF494" i="1"/>
  <c r="BH494" i="1"/>
  <c r="BE495" i="1"/>
  <c r="BB495" i="1" s="1"/>
  <c r="BF495" i="1"/>
  <c r="BH495" i="1"/>
  <c r="BE496" i="1"/>
  <c r="BF496" i="1"/>
  <c r="BH496" i="1"/>
  <c r="BE497" i="1"/>
  <c r="BF497" i="1"/>
  <c r="BH497" i="1"/>
  <c r="BE498" i="1"/>
  <c r="BF498" i="1"/>
  <c r="BH498" i="1"/>
  <c r="BE499" i="1"/>
  <c r="BB499" i="1" s="1"/>
  <c r="BF499" i="1"/>
  <c r="BH499" i="1"/>
  <c r="BE500" i="1"/>
  <c r="BF500" i="1"/>
  <c r="BH500" i="1"/>
  <c r="BE501" i="1"/>
  <c r="BF501" i="1"/>
  <c r="BH501" i="1"/>
  <c r="BE502" i="1"/>
  <c r="BF502" i="1"/>
  <c r="BH502" i="1"/>
  <c r="BE503" i="1"/>
  <c r="BB503" i="1" s="1"/>
  <c r="BF503" i="1"/>
  <c r="BH503" i="1"/>
  <c r="BE504" i="1"/>
  <c r="BF504" i="1"/>
  <c r="BH504" i="1"/>
  <c r="BE505" i="1"/>
  <c r="BF505" i="1"/>
  <c r="BH505" i="1"/>
  <c r="BE506" i="1"/>
  <c r="BF506" i="1"/>
  <c r="BH506" i="1"/>
  <c r="BE507" i="1"/>
  <c r="BB507" i="1" s="1"/>
  <c r="BF507" i="1"/>
  <c r="BH507" i="1"/>
  <c r="BE508" i="1"/>
  <c r="BF508" i="1"/>
  <c r="BH508" i="1"/>
  <c r="BE509" i="1"/>
  <c r="BF509" i="1"/>
  <c r="BH509" i="1"/>
  <c r="BE510" i="1"/>
  <c r="BF510" i="1"/>
  <c r="BH510" i="1"/>
  <c r="BE511" i="1"/>
  <c r="BB511" i="1" s="1"/>
  <c r="BF511" i="1"/>
  <c r="BH511" i="1"/>
  <c r="BE512" i="1"/>
  <c r="BF512" i="1"/>
  <c r="BH512" i="1"/>
  <c r="BE513" i="1"/>
  <c r="BF513" i="1"/>
  <c r="BH513" i="1"/>
  <c r="BE514" i="1"/>
  <c r="BF514" i="1"/>
  <c r="BH514" i="1"/>
  <c r="BE515" i="1"/>
  <c r="BB515" i="1" s="1"/>
  <c r="BF515" i="1"/>
  <c r="BH515" i="1"/>
  <c r="BE516" i="1"/>
  <c r="BF516" i="1"/>
  <c r="BH516" i="1"/>
  <c r="BE517" i="1"/>
  <c r="BF517" i="1"/>
  <c r="BH517" i="1"/>
  <c r="BE518" i="1"/>
  <c r="BF518" i="1"/>
  <c r="BH518" i="1"/>
  <c r="BE519" i="1"/>
  <c r="BB519" i="1" s="1"/>
  <c r="BF519" i="1"/>
  <c r="BH519" i="1"/>
  <c r="BE520" i="1"/>
  <c r="BF520" i="1"/>
  <c r="BH520" i="1"/>
  <c r="BE521" i="1"/>
  <c r="BF521" i="1"/>
  <c r="BH521" i="1"/>
  <c r="BE522" i="1"/>
  <c r="BF522" i="1"/>
  <c r="BH522" i="1"/>
  <c r="BE523" i="1"/>
  <c r="BB523" i="1" s="1"/>
  <c r="BF523" i="1"/>
  <c r="BH523" i="1"/>
  <c r="BE524" i="1"/>
  <c r="BF524" i="1"/>
  <c r="BH524" i="1"/>
  <c r="BE525" i="1"/>
  <c r="BF525" i="1"/>
  <c r="BH525" i="1"/>
  <c r="BE526" i="1"/>
  <c r="BF526" i="1"/>
  <c r="BH526" i="1"/>
  <c r="BE527" i="1"/>
  <c r="BB527" i="1" s="1"/>
  <c r="BF527" i="1"/>
  <c r="BH527" i="1"/>
  <c r="BE528" i="1"/>
  <c r="BF528" i="1"/>
  <c r="BH528" i="1"/>
  <c r="BE529" i="1"/>
  <c r="BF529" i="1"/>
  <c r="BH529" i="1"/>
  <c r="BE530" i="1"/>
  <c r="BF530" i="1"/>
  <c r="BH530" i="1"/>
  <c r="BE531" i="1"/>
  <c r="BB531" i="1" s="1"/>
  <c r="BF531" i="1"/>
  <c r="BH531" i="1"/>
  <c r="BE532" i="1"/>
  <c r="BF532" i="1"/>
  <c r="BH532" i="1"/>
  <c r="BE533" i="1"/>
  <c r="BF533" i="1"/>
  <c r="BH533" i="1"/>
  <c r="BE534" i="1"/>
  <c r="BF534" i="1"/>
  <c r="BH534" i="1"/>
  <c r="BE535" i="1"/>
  <c r="BB535" i="1" s="1"/>
  <c r="BF535" i="1"/>
  <c r="BH535" i="1"/>
  <c r="BE536" i="1"/>
  <c r="BF536" i="1"/>
  <c r="BH536" i="1"/>
  <c r="BE537" i="1"/>
  <c r="BF537" i="1"/>
  <c r="BH537" i="1"/>
  <c r="BE538" i="1"/>
  <c r="BF538" i="1"/>
  <c r="BH538" i="1"/>
  <c r="BE539" i="1"/>
  <c r="BB539" i="1" s="1"/>
  <c r="BF539" i="1"/>
  <c r="BH539" i="1"/>
  <c r="BE540" i="1"/>
  <c r="BF540" i="1"/>
  <c r="BH540" i="1"/>
  <c r="BE541" i="1"/>
  <c r="BF541" i="1"/>
  <c r="BH541" i="1"/>
  <c r="BE542" i="1"/>
  <c r="BF542" i="1"/>
  <c r="BH542" i="1"/>
  <c r="BE543" i="1"/>
  <c r="BB543" i="1" s="1"/>
  <c r="BF543" i="1"/>
  <c r="BH543" i="1"/>
  <c r="BE544" i="1"/>
  <c r="BF544" i="1"/>
  <c r="BH544" i="1"/>
  <c r="BE545" i="1"/>
  <c r="BF545" i="1"/>
  <c r="BH545" i="1"/>
  <c r="BE546" i="1"/>
  <c r="BF546" i="1"/>
  <c r="BH546" i="1"/>
  <c r="BE547" i="1"/>
  <c r="BB547" i="1" s="1"/>
  <c r="BF547" i="1"/>
  <c r="BH547" i="1"/>
  <c r="BE548" i="1"/>
  <c r="BF548" i="1"/>
  <c r="BH548" i="1"/>
  <c r="BE549" i="1"/>
  <c r="BF549" i="1"/>
  <c r="BH549" i="1"/>
  <c r="BE550" i="1"/>
  <c r="BF550" i="1"/>
  <c r="BH550" i="1"/>
  <c r="BE551" i="1"/>
  <c r="BB551" i="1" s="1"/>
  <c r="BF551" i="1"/>
  <c r="BH551" i="1"/>
  <c r="BE552" i="1"/>
  <c r="BF552" i="1"/>
  <c r="BH552" i="1"/>
  <c r="BE553" i="1"/>
  <c r="BF553" i="1"/>
  <c r="BH553" i="1"/>
  <c r="BE554" i="1"/>
  <c r="BF554" i="1"/>
  <c r="BH554" i="1"/>
  <c r="BE555" i="1"/>
  <c r="BB555" i="1" s="1"/>
  <c r="BF555" i="1"/>
  <c r="BH555" i="1"/>
  <c r="BE556" i="1"/>
  <c r="BF556" i="1"/>
  <c r="BH556" i="1"/>
  <c r="BE557" i="1"/>
  <c r="BF557" i="1"/>
  <c r="BH557" i="1"/>
  <c r="BE558" i="1"/>
  <c r="BF558" i="1"/>
  <c r="BH558" i="1"/>
  <c r="BE559" i="1"/>
  <c r="BB559" i="1" s="1"/>
  <c r="BF559" i="1"/>
  <c r="BH559" i="1"/>
  <c r="BE560" i="1"/>
  <c r="BF560" i="1"/>
  <c r="BH560" i="1"/>
  <c r="BE561" i="1"/>
  <c r="BF561" i="1"/>
  <c r="BH561" i="1"/>
  <c r="BE562" i="1"/>
  <c r="BF562" i="1"/>
  <c r="BH562" i="1"/>
  <c r="BE563" i="1"/>
  <c r="BB563" i="1" s="1"/>
  <c r="BF563" i="1"/>
  <c r="BH563" i="1"/>
  <c r="BE564" i="1"/>
  <c r="BF564" i="1"/>
  <c r="BH564" i="1"/>
  <c r="BE565" i="1"/>
  <c r="BF565" i="1"/>
  <c r="BH565" i="1"/>
  <c r="BE566" i="1"/>
  <c r="BF566" i="1"/>
  <c r="BH566" i="1"/>
  <c r="BE567" i="1"/>
  <c r="BB567" i="1" s="1"/>
  <c r="BF567" i="1"/>
  <c r="BH567" i="1"/>
  <c r="BE568" i="1"/>
  <c r="BF568" i="1"/>
  <c r="BH568" i="1"/>
  <c r="BE569" i="1"/>
  <c r="BF569" i="1"/>
  <c r="BH569" i="1"/>
  <c r="BE570" i="1"/>
  <c r="BF570" i="1"/>
  <c r="BH570" i="1"/>
  <c r="BE571" i="1"/>
  <c r="BB571" i="1" s="1"/>
  <c r="BF571" i="1"/>
  <c r="BH571" i="1"/>
  <c r="BE572" i="1"/>
  <c r="BF572" i="1"/>
  <c r="BH572" i="1"/>
  <c r="BE573" i="1"/>
  <c r="BF573" i="1"/>
  <c r="BH573" i="1"/>
  <c r="BE574" i="1"/>
  <c r="BF574" i="1"/>
  <c r="BH574" i="1"/>
  <c r="BE575" i="1"/>
  <c r="BB575" i="1" s="1"/>
  <c r="BF575" i="1"/>
  <c r="BH575" i="1"/>
  <c r="BE576" i="1"/>
  <c r="BF576" i="1"/>
  <c r="BH576" i="1"/>
  <c r="BE577" i="1"/>
  <c r="BF577" i="1"/>
  <c r="BH577" i="1"/>
  <c r="BE578" i="1"/>
  <c r="BF578" i="1"/>
  <c r="BH578" i="1"/>
  <c r="BE579" i="1"/>
  <c r="BB579" i="1" s="1"/>
  <c r="BF579" i="1"/>
  <c r="BH579" i="1"/>
  <c r="BE580" i="1"/>
  <c r="BF580" i="1"/>
  <c r="BH580" i="1"/>
  <c r="BE581" i="1"/>
  <c r="BF581" i="1"/>
  <c r="BH581" i="1"/>
  <c r="BE582" i="1"/>
  <c r="BF582" i="1"/>
  <c r="BH582" i="1"/>
  <c r="BE583" i="1"/>
  <c r="BB583" i="1" s="1"/>
  <c r="BF583" i="1"/>
  <c r="BH583" i="1"/>
  <c r="BE584" i="1"/>
  <c r="BF584" i="1"/>
  <c r="BH584" i="1"/>
  <c r="BE585" i="1"/>
  <c r="BF585" i="1"/>
  <c r="BH585" i="1"/>
  <c r="BE586" i="1"/>
  <c r="BF586" i="1"/>
  <c r="BH586" i="1"/>
  <c r="BE587" i="1"/>
  <c r="BB587" i="1" s="1"/>
  <c r="BF587" i="1"/>
  <c r="BH587" i="1"/>
  <c r="BE588" i="1"/>
  <c r="BF588" i="1"/>
  <c r="BH588" i="1"/>
  <c r="BE589" i="1"/>
  <c r="BF589" i="1"/>
  <c r="BH589" i="1"/>
  <c r="BE590" i="1"/>
  <c r="BF590" i="1"/>
  <c r="BH590" i="1"/>
  <c r="BE591" i="1"/>
  <c r="BB591" i="1" s="1"/>
  <c r="BF591" i="1"/>
  <c r="BH591" i="1"/>
  <c r="BE592" i="1"/>
  <c r="BF592" i="1"/>
  <c r="BH592" i="1"/>
  <c r="BE593" i="1"/>
  <c r="BF593" i="1"/>
  <c r="BH593" i="1"/>
  <c r="BE594" i="1"/>
  <c r="BF594" i="1"/>
  <c r="BH594" i="1"/>
  <c r="BE595" i="1"/>
  <c r="BB595" i="1" s="1"/>
  <c r="BF595" i="1"/>
  <c r="BH595" i="1"/>
  <c r="BE596" i="1"/>
  <c r="BF596" i="1"/>
  <c r="BH596" i="1"/>
  <c r="BE597" i="1"/>
  <c r="BF597" i="1"/>
  <c r="BH597" i="1"/>
  <c r="BE598" i="1"/>
  <c r="BF598" i="1"/>
  <c r="BH598" i="1"/>
  <c r="BE599" i="1"/>
  <c r="BB599" i="1" s="1"/>
  <c r="BF599" i="1"/>
  <c r="BH599" i="1"/>
  <c r="BE600" i="1"/>
  <c r="BF600" i="1"/>
  <c r="BH600" i="1"/>
  <c r="BE601" i="1"/>
  <c r="BF601" i="1"/>
  <c r="BH601" i="1"/>
  <c r="BE602" i="1"/>
  <c r="BF602" i="1"/>
  <c r="BH602" i="1"/>
  <c r="BE603" i="1"/>
  <c r="BB603" i="1" s="1"/>
  <c r="BF603" i="1"/>
  <c r="BH603" i="1"/>
  <c r="BE604" i="1"/>
  <c r="BF604" i="1"/>
  <c r="BH604" i="1"/>
  <c r="BE605" i="1"/>
  <c r="BF605" i="1"/>
  <c r="BH605" i="1"/>
  <c r="BE606" i="1"/>
  <c r="BF606" i="1"/>
  <c r="BH606" i="1"/>
  <c r="BE607" i="1"/>
  <c r="BB607" i="1" s="1"/>
  <c r="BF607" i="1"/>
  <c r="BH607" i="1"/>
  <c r="BE608" i="1"/>
  <c r="BF608" i="1"/>
  <c r="BH608" i="1"/>
  <c r="BE609" i="1"/>
  <c r="BF609" i="1"/>
  <c r="BH609" i="1"/>
  <c r="BE610" i="1"/>
  <c r="BF610" i="1"/>
  <c r="BH610" i="1"/>
  <c r="BE611" i="1"/>
  <c r="BB611" i="1" s="1"/>
  <c r="BF611" i="1"/>
  <c r="BH611" i="1"/>
  <c r="BE612" i="1"/>
  <c r="BF612" i="1"/>
  <c r="BH612" i="1"/>
  <c r="BE613" i="1"/>
  <c r="BF613" i="1"/>
  <c r="BH613" i="1"/>
  <c r="BE614" i="1"/>
  <c r="BF614" i="1"/>
  <c r="BH614" i="1"/>
  <c r="BE615" i="1"/>
  <c r="BB615" i="1" s="1"/>
  <c r="BF615" i="1"/>
  <c r="BH615" i="1"/>
  <c r="BE616" i="1"/>
  <c r="BF616" i="1"/>
  <c r="BH616" i="1"/>
  <c r="BE617" i="1"/>
  <c r="BF617" i="1"/>
  <c r="BH617" i="1"/>
  <c r="BE618" i="1"/>
  <c r="BF618" i="1"/>
  <c r="BH618" i="1"/>
  <c r="BE619" i="1"/>
  <c r="BB619" i="1" s="1"/>
  <c r="BF619" i="1"/>
  <c r="BH619" i="1"/>
  <c r="BE620" i="1"/>
  <c r="BF620" i="1"/>
  <c r="BH620" i="1"/>
  <c r="BE621" i="1"/>
  <c r="BF621" i="1"/>
  <c r="BH621" i="1"/>
  <c r="BE622" i="1"/>
  <c r="BF622" i="1"/>
  <c r="BH622" i="1"/>
  <c r="BE623" i="1"/>
  <c r="BB623" i="1" s="1"/>
  <c r="BF623" i="1"/>
  <c r="BH623" i="1"/>
  <c r="BE624" i="1"/>
  <c r="BF624" i="1"/>
  <c r="BH624" i="1"/>
  <c r="BE625" i="1"/>
  <c r="BF625" i="1"/>
  <c r="BH625" i="1"/>
  <c r="BE626" i="1"/>
  <c r="BF626" i="1"/>
  <c r="BH626" i="1"/>
  <c r="BE627" i="1"/>
  <c r="BB627" i="1" s="1"/>
  <c r="BF627" i="1"/>
  <c r="BH627" i="1"/>
  <c r="BE628" i="1"/>
  <c r="BF628" i="1"/>
  <c r="BH628" i="1"/>
  <c r="BE629" i="1"/>
  <c r="BF629" i="1"/>
  <c r="BH629" i="1"/>
  <c r="BE630" i="1"/>
  <c r="BF630" i="1"/>
  <c r="BH630" i="1"/>
  <c r="BE631" i="1"/>
  <c r="BB631" i="1" s="1"/>
  <c r="BF631" i="1"/>
  <c r="BH631" i="1"/>
  <c r="BE632" i="1"/>
  <c r="BF632" i="1"/>
  <c r="BH632" i="1"/>
  <c r="BE633" i="1"/>
  <c r="BF633" i="1"/>
  <c r="BH633" i="1"/>
  <c r="BE634" i="1"/>
  <c r="BF634" i="1"/>
  <c r="BH634" i="1"/>
  <c r="BE635" i="1"/>
  <c r="BB635" i="1" s="1"/>
  <c r="BF635" i="1"/>
  <c r="BH635" i="1"/>
  <c r="BE636" i="1"/>
  <c r="BB636" i="1" s="1"/>
  <c r="BF636" i="1"/>
  <c r="BH636" i="1"/>
  <c r="BE637" i="1"/>
  <c r="BF637" i="1"/>
  <c r="BH637" i="1"/>
  <c r="BE638" i="1"/>
  <c r="BF638" i="1"/>
  <c r="BH638" i="1"/>
  <c r="BE639" i="1"/>
  <c r="BB639" i="1" s="1"/>
  <c r="BF639" i="1"/>
  <c r="BH639" i="1"/>
  <c r="BE640" i="1"/>
  <c r="BB640" i="1" s="1"/>
  <c r="BF640" i="1"/>
  <c r="BH640" i="1"/>
  <c r="BE641" i="1"/>
  <c r="BF641" i="1"/>
  <c r="BH641" i="1"/>
  <c r="BE642" i="1"/>
  <c r="BF642" i="1"/>
  <c r="BH642" i="1"/>
  <c r="BE643" i="1"/>
  <c r="BB643" i="1" s="1"/>
  <c r="BF643" i="1"/>
  <c r="BH643" i="1"/>
  <c r="BE644" i="1"/>
  <c r="BB644" i="1" s="1"/>
  <c r="BF644" i="1"/>
  <c r="BH644" i="1"/>
  <c r="BE645" i="1"/>
  <c r="BF645" i="1"/>
  <c r="BH645" i="1"/>
  <c r="BE646" i="1"/>
  <c r="BF646" i="1"/>
  <c r="BH646" i="1"/>
  <c r="BE647" i="1"/>
  <c r="BB647" i="1" s="1"/>
  <c r="BF647" i="1"/>
  <c r="BH647" i="1"/>
  <c r="BE648" i="1"/>
  <c r="BB648" i="1" s="1"/>
  <c r="BF648" i="1"/>
  <c r="BH648" i="1"/>
  <c r="BE649" i="1"/>
  <c r="BF649" i="1"/>
  <c r="BH649" i="1"/>
  <c r="BE650" i="1"/>
  <c r="BF650" i="1"/>
  <c r="BH650" i="1"/>
  <c r="BB629" i="1" l="1"/>
  <c r="BB621" i="1"/>
  <c r="BB617" i="1"/>
  <c r="BB613" i="1"/>
  <c r="BB601" i="1"/>
  <c r="BB593" i="1"/>
  <c r="BB585" i="1"/>
  <c r="BB577" i="1"/>
  <c r="BB565" i="1"/>
  <c r="BB561" i="1"/>
  <c r="BB557" i="1"/>
  <c r="BB541" i="1"/>
  <c r="BB537" i="1"/>
  <c r="BB533" i="1"/>
  <c r="BB529" i="1"/>
  <c r="BB525" i="1"/>
  <c r="BB521" i="1"/>
  <c r="BB517" i="1"/>
  <c r="BB513" i="1"/>
  <c r="BB509" i="1"/>
  <c r="BB505" i="1"/>
  <c r="BB501" i="1"/>
  <c r="BB497" i="1"/>
  <c r="BB493" i="1"/>
  <c r="BB633" i="1"/>
  <c r="BB625" i="1"/>
  <c r="BB609" i="1"/>
  <c r="BB605" i="1"/>
  <c r="BB597" i="1"/>
  <c r="BB589" i="1"/>
  <c r="BB581" i="1"/>
  <c r="BB573" i="1"/>
  <c r="BB569" i="1"/>
  <c r="BB553" i="1"/>
  <c r="BB549" i="1"/>
  <c r="BB545" i="1"/>
  <c r="BB489" i="1"/>
  <c r="BB485" i="1"/>
  <c r="BB481" i="1"/>
  <c r="BB477" i="1"/>
  <c r="BB473" i="1"/>
  <c r="BB469" i="1"/>
  <c r="BB465" i="1"/>
  <c r="BB461" i="1"/>
  <c r="BB457" i="1"/>
  <c r="BB453" i="1"/>
  <c r="BB449" i="1"/>
  <c r="BB445" i="1"/>
  <c r="BB441" i="1"/>
  <c r="BB437" i="1"/>
  <c r="BB433" i="1"/>
  <c r="BB429" i="1"/>
  <c r="BB425" i="1"/>
  <c r="BB421" i="1"/>
  <c r="BB417" i="1"/>
  <c r="BB413" i="1"/>
  <c r="BB409" i="1"/>
  <c r="BB405" i="1"/>
  <c r="BB401" i="1"/>
  <c r="BB397" i="1"/>
  <c r="BB393" i="1"/>
  <c r="BB389" i="1"/>
  <c r="BB385" i="1"/>
  <c r="BB381" i="1"/>
  <c r="BB377" i="1"/>
  <c r="BB373" i="1"/>
  <c r="BB369" i="1"/>
  <c r="BB365" i="1"/>
  <c r="BB361" i="1"/>
  <c r="BB357" i="1"/>
  <c r="BB353" i="1"/>
  <c r="BB349" i="1"/>
  <c r="BB345" i="1"/>
  <c r="BB341" i="1"/>
  <c r="BB337" i="1"/>
  <c r="BB333" i="1"/>
  <c r="BB329" i="1"/>
  <c r="BB325" i="1"/>
  <c r="BB321" i="1"/>
  <c r="BB317" i="1"/>
  <c r="BB313" i="1"/>
  <c r="BB309" i="1"/>
  <c r="BB305" i="1"/>
  <c r="BB301" i="1"/>
  <c r="BB297" i="1"/>
  <c r="BB293" i="1"/>
  <c r="BB289" i="1"/>
  <c r="BB285" i="1"/>
  <c r="BB281" i="1"/>
  <c r="BB277" i="1"/>
  <c r="BB273" i="1"/>
  <c r="BB269" i="1"/>
  <c r="BB265" i="1"/>
  <c r="BB261" i="1"/>
  <c r="BB257" i="1"/>
  <c r="BB253" i="1"/>
  <c r="BB249" i="1"/>
  <c r="BB245" i="1"/>
  <c r="BB241" i="1"/>
  <c r="BB237" i="1"/>
  <c r="BB233" i="1"/>
  <c r="BB229" i="1"/>
  <c r="BB225" i="1"/>
  <c r="BB221" i="1"/>
  <c r="BB217" i="1"/>
  <c r="BB213" i="1"/>
  <c r="BB209" i="1"/>
  <c r="BB205" i="1"/>
  <c r="BB201" i="1"/>
  <c r="BB197" i="1"/>
  <c r="BB193" i="1"/>
  <c r="BB189" i="1"/>
  <c r="BB185" i="1"/>
  <c r="BB181" i="1"/>
  <c r="BB177" i="1"/>
  <c r="BB173" i="1"/>
  <c r="BB169" i="1"/>
  <c r="BB165" i="1"/>
  <c r="BB161" i="1"/>
  <c r="BB157" i="1"/>
  <c r="BB153" i="1"/>
  <c r="BB315" i="1"/>
  <c r="BB311" i="1"/>
  <c r="BB307" i="1"/>
  <c r="BB303" i="1"/>
  <c r="BB299" i="1"/>
  <c r="BB295" i="1"/>
  <c r="BB291" i="1"/>
  <c r="BB287" i="1"/>
  <c r="BB283" i="1"/>
  <c r="BB279" i="1"/>
  <c r="BB275" i="1"/>
  <c r="BB271" i="1"/>
  <c r="BB267" i="1"/>
  <c r="BB263" i="1"/>
  <c r="BB259" i="1"/>
  <c r="BB255" i="1"/>
  <c r="BB251" i="1"/>
  <c r="BB247" i="1"/>
  <c r="BB243" i="1"/>
  <c r="BB239" i="1"/>
  <c r="BB235" i="1"/>
  <c r="BB231" i="1"/>
  <c r="BB227" i="1"/>
  <c r="BB223" i="1"/>
  <c r="BB219" i="1"/>
  <c r="BB215" i="1"/>
  <c r="BB211" i="1"/>
  <c r="BB207" i="1"/>
  <c r="BB203" i="1"/>
  <c r="BB199" i="1"/>
  <c r="BB195" i="1"/>
  <c r="BB191" i="1"/>
  <c r="BB187" i="1"/>
  <c r="BB183" i="1"/>
  <c r="BB179" i="1"/>
  <c r="BB175" i="1"/>
  <c r="BB171" i="1"/>
  <c r="BB167" i="1"/>
  <c r="BB163" i="1"/>
  <c r="BB159" i="1"/>
  <c r="BB155" i="1"/>
  <c r="BB151" i="1"/>
  <c r="BB637" i="1"/>
  <c r="BB632" i="1"/>
  <c r="BB628" i="1"/>
  <c r="BB624" i="1"/>
  <c r="BB620" i="1"/>
  <c r="BB616" i="1"/>
  <c r="BB612" i="1"/>
  <c r="BB608" i="1"/>
  <c r="BB604" i="1"/>
  <c r="BB600" i="1"/>
  <c r="BB596" i="1"/>
  <c r="BB592" i="1"/>
  <c r="BB588" i="1"/>
  <c r="BB584" i="1"/>
  <c r="BB580" i="1"/>
  <c r="BB576" i="1"/>
  <c r="BB572" i="1"/>
  <c r="BB568" i="1"/>
  <c r="BB564" i="1"/>
  <c r="BB560" i="1"/>
  <c r="BB556" i="1"/>
  <c r="BB552" i="1"/>
  <c r="BB548" i="1"/>
  <c r="BB544" i="1"/>
  <c r="BB540" i="1"/>
  <c r="BB536" i="1"/>
  <c r="BB532" i="1"/>
  <c r="BB528" i="1"/>
  <c r="BB524" i="1"/>
  <c r="BB520" i="1"/>
  <c r="BB516" i="1"/>
  <c r="BB512" i="1"/>
  <c r="BB508" i="1"/>
  <c r="BB504" i="1"/>
  <c r="BB500" i="1"/>
  <c r="BB496" i="1"/>
  <c r="BB492" i="1"/>
  <c r="BB488" i="1"/>
  <c r="BB484" i="1"/>
  <c r="BB480" i="1"/>
  <c r="BB476" i="1"/>
  <c r="BB472" i="1"/>
  <c r="BB468" i="1"/>
  <c r="BB464" i="1"/>
  <c r="BB460" i="1"/>
  <c r="BB456" i="1"/>
  <c r="BB452" i="1"/>
  <c r="BB448" i="1"/>
  <c r="BB444" i="1"/>
  <c r="BB440" i="1"/>
  <c r="BB436" i="1"/>
  <c r="BB432" i="1"/>
  <c r="BB428" i="1"/>
  <c r="BB424" i="1"/>
  <c r="BB420" i="1"/>
  <c r="BB416" i="1"/>
  <c r="BB412" i="1"/>
  <c r="BB408" i="1"/>
  <c r="BB404" i="1"/>
  <c r="BB400" i="1"/>
  <c r="BB396" i="1"/>
  <c r="BB392" i="1"/>
  <c r="BB388" i="1"/>
  <c r="BB384" i="1"/>
  <c r="BB380" i="1"/>
  <c r="BB376" i="1"/>
  <c r="BB372" i="1"/>
  <c r="BB368" i="1"/>
  <c r="BB364" i="1"/>
  <c r="BB360" i="1"/>
  <c r="BB356" i="1"/>
  <c r="BB352" i="1"/>
  <c r="BB348" i="1"/>
  <c r="BB344" i="1"/>
  <c r="BB340" i="1"/>
  <c r="BB336" i="1"/>
  <c r="BB332" i="1"/>
  <c r="BB328" i="1"/>
  <c r="BB324" i="1"/>
  <c r="BB320" i="1"/>
  <c r="BB316" i="1"/>
  <c r="BB312" i="1"/>
  <c r="BB308" i="1"/>
  <c r="BB304" i="1"/>
  <c r="BB300" i="1"/>
  <c r="BB296" i="1"/>
  <c r="BB292" i="1"/>
  <c r="BB288" i="1"/>
  <c r="BB284" i="1"/>
  <c r="BB280" i="1"/>
  <c r="BB276" i="1"/>
  <c r="BB272" i="1"/>
  <c r="BB268" i="1"/>
  <c r="BB264" i="1"/>
  <c r="BB260" i="1"/>
  <c r="BB256" i="1"/>
  <c r="BB252" i="1"/>
  <c r="BB248" i="1"/>
  <c r="BB244" i="1"/>
  <c r="BB240" i="1"/>
  <c r="BB236" i="1"/>
  <c r="BB232" i="1"/>
  <c r="BB228" i="1"/>
  <c r="BB224" i="1"/>
  <c r="BB220" i="1"/>
  <c r="BB216" i="1"/>
  <c r="BB212" i="1"/>
  <c r="BB208" i="1"/>
  <c r="BB204" i="1"/>
  <c r="BB200" i="1"/>
  <c r="BB196" i="1"/>
  <c r="BB192" i="1"/>
  <c r="BB188" i="1"/>
  <c r="BB184" i="1"/>
  <c r="BB180" i="1"/>
  <c r="BB176" i="1"/>
  <c r="BB172" i="1"/>
  <c r="BB168" i="1"/>
  <c r="BB164" i="1"/>
  <c r="BB160" i="1"/>
  <c r="BB156" i="1"/>
  <c r="BB152" i="1"/>
  <c r="BB150" i="1"/>
  <c r="BB148" i="1"/>
  <c r="BB146" i="1"/>
  <c r="BB141" i="1"/>
  <c r="BB139" i="1"/>
  <c r="BB137" i="1"/>
  <c r="BB135" i="1"/>
  <c r="BB133" i="1"/>
  <c r="BB131" i="1"/>
  <c r="BB649" i="1"/>
  <c r="BB641" i="1"/>
  <c r="BB645" i="1"/>
  <c r="BB650" i="1"/>
  <c r="BB646" i="1"/>
  <c r="BB642" i="1"/>
  <c r="BB638" i="1"/>
  <c r="BB634" i="1"/>
  <c r="BB630" i="1"/>
  <c r="BB626" i="1"/>
  <c r="BB622" i="1"/>
  <c r="BB618" i="1"/>
  <c r="BB614" i="1"/>
  <c r="BB610" i="1"/>
  <c r="BB606" i="1"/>
  <c r="BB602" i="1"/>
  <c r="BB598" i="1"/>
  <c r="BB594" i="1"/>
  <c r="BB590" i="1"/>
  <c r="BB586" i="1"/>
  <c r="BB582" i="1"/>
  <c r="BB578" i="1"/>
  <c r="BB574" i="1"/>
  <c r="BB570" i="1"/>
  <c r="BB566" i="1"/>
  <c r="BB562" i="1"/>
  <c r="BB558" i="1"/>
  <c r="BB554" i="1"/>
  <c r="BB550" i="1"/>
  <c r="BB546" i="1"/>
  <c r="BB542" i="1"/>
  <c r="BB538" i="1"/>
  <c r="BB534" i="1"/>
  <c r="BB530" i="1"/>
  <c r="BB526" i="1"/>
  <c r="BB522" i="1"/>
  <c r="BB518" i="1"/>
  <c r="BB514" i="1"/>
  <c r="BB510" i="1"/>
  <c r="BB506" i="1"/>
  <c r="BB502" i="1"/>
  <c r="BB498" i="1"/>
  <c r="BB494" i="1"/>
  <c r="BB490" i="1"/>
  <c r="BB486" i="1"/>
  <c r="BB482" i="1"/>
  <c r="BB478" i="1"/>
  <c r="BB474" i="1"/>
  <c r="BB470" i="1"/>
  <c r="BB466" i="1"/>
  <c r="BB462" i="1"/>
  <c r="BB458" i="1"/>
  <c r="BB454" i="1"/>
  <c r="BB450" i="1"/>
  <c r="BB446" i="1"/>
  <c r="BB442" i="1"/>
  <c r="BB438" i="1"/>
  <c r="BB434" i="1"/>
  <c r="BB430" i="1"/>
  <c r="BB426" i="1"/>
  <c r="BB422" i="1"/>
  <c r="BB418" i="1"/>
  <c r="BB414" i="1"/>
  <c r="BB410" i="1"/>
  <c r="BB406" i="1"/>
  <c r="BB402" i="1"/>
  <c r="BB398" i="1"/>
  <c r="BB394" i="1"/>
  <c r="BB390" i="1"/>
  <c r="BB386" i="1"/>
  <c r="BB382" i="1"/>
  <c r="BB378" i="1"/>
  <c r="BB374" i="1"/>
  <c r="BB370" i="1"/>
  <c r="BB366" i="1"/>
  <c r="BB362" i="1"/>
  <c r="BB358" i="1"/>
  <c r="BB354" i="1"/>
  <c r="BB350" i="1"/>
  <c r="BB346" i="1"/>
  <c r="BB342" i="1"/>
  <c r="BB338" i="1"/>
  <c r="BB334" i="1"/>
  <c r="BB330" i="1"/>
  <c r="BB326" i="1"/>
  <c r="BB322" i="1"/>
  <c r="BB318" i="1"/>
  <c r="BB314" i="1"/>
  <c r="BB310" i="1"/>
  <c r="BB306" i="1"/>
  <c r="BB302" i="1"/>
  <c r="BB298" i="1"/>
  <c r="BB294" i="1"/>
  <c r="BB290" i="1"/>
  <c r="BB286" i="1"/>
  <c r="BB282" i="1"/>
  <c r="BB278" i="1"/>
  <c r="BB274" i="1"/>
  <c r="BB270" i="1"/>
  <c r="BB266" i="1"/>
  <c r="BB262" i="1"/>
  <c r="BB258" i="1"/>
  <c r="BB254" i="1"/>
  <c r="BB250" i="1"/>
  <c r="BB246" i="1"/>
  <c r="BB242" i="1"/>
  <c r="BB238" i="1"/>
  <c r="BB234" i="1"/>
  <c r="BB230" i="1"/>
  <c r="BB226" i="1"/>
  <c r="BB222" i="1"/>
  <c r="BB218" i="1"/>
  <c r="BB214" i="1"/>
  <c r="BB210" i="1"/>
  <c r="BB206" i="1"/>
  <c r="BB202" i="1"/>
  <c r="BB198" i="1"/>
  <c r="BB194" i="1"/>
  <c r="BB190" i="1"/>
  <c r="BB186" i="1"/>
  <c r="BB182" i="1"/>
  <c r="BB178" i="1"/>
  <c r="BB174" i="1"/>
  <c r="BB170" i="1"/>
  <c r="BB166" i="1"/>
  <c r="BB162" i="1"/>
  <c r="BB158" i="1"/>
  <c r="BB154" i="1"/>
  <c r="BB149" i="1"/>
  <c r="BB147" i="1"/>
  <c r="BB140" i="1"/>
  <c r="BB138" i="1"/>
  <c r="BB136" i="1"/>
  <c r="BB134" i="1"/>
  <c r="BB132" i="1"/>
  <c r="BB130" i="1"/>
  <c r="BH110" i="1"/>
  <c r="C110" i="1" s="1"/>
  <c r="BH109" i="1"/>
  <c r="C109" i="1" s="1"/>
  <c r="BH108" i="1"/>
  <c r="C108" i="1" s="1"/>
  <c r="BH107" i="1"/>
  <c r="C107" i="1" s="1"/>
  <c r="BH106" i="1"/>
  <c r="C106" i="1" s="1"/>
  <c r="BH105" i="1"/>
  <c r="C105" i="1" s="1"/>
  <c r="BH104" i="1"/>
  <c r="C104" i="1" s="1"/>
  <c r="BH103" i="1"/>
  <c r="C103" i="1" s="1"/>
  <c r="BH102" i="1"/>
  <c r="C102" i="1" s="1"/>
  <c r="BH101" i="1"/>
  <c r="C101" i="1" s="1"/>
  <c r="BH100" i="1"/>
  <c r="C100" i="1" s="1"/>
  <c r="BH99" i="1"/>
  <c r="C99" i="1" s="1"/>
  <c r="BH98" i="1"/>
  <c r="C98" i="1" s="1"/>
  <c r="BH97" i="1"/>
  <c r="C97" i="1" s="1"/>
  <c r="BH96" i="1"/>
  <c r="C96" i="1" s="1"/>
  <c r="BH95" i="1"/>
  <c r="C95" i="1" s="1"/>
  <c r="BH94" i="1"/>
  <c r="C94" i="1" s="1"/>
  <c r="BH93" i="1"/>
  <c r="C93" i="1" s="1"/>
  <c r="BH92" i="1"/>
  <c r="C92" i="1" s="1"/>
  <c r="BH91" i="1"/>
  <c r="C91" i="1" s="1"/>
  <c r="BH90" i="1"/>
  <c r="C90" i="1" s="1"/>
  <c r="BH89" i="1"/>
  <c r="C89" i="1" s="1"/>
  <c r="BH88" i="1"/>
  <c r="C88" i="1" s="1"/>
  <c r="BH87" i="1"/>
  <c r="C87" i="1" s="1"/>
  <c r="BH86" i="1"/>
  <c r="C86" i="1" s="1"/>
  <c r="BH85" i="1"/>
  <c r="C85" i="1" s="1"/>
  <c r="BH84" i="1"/>
  <c r="C84" i="1" s="1"/>
  <c r="BH83" i="1"/>
  <c r="C83" i="1" s="1"/>
  <c r="BH82" i="1"/>
  <c r="C82" i="1" s="1"/>
  <c r="BH81" i="1"/>
  <c r="C81" i="1" s="1"/>
  <c r="BH80" i="1"/>
  <c r="C80" i="1" s="1"/>
  <c r="BH79" i="1"/>
  <c r="C79" i="1" s="1"/>
  <c r="BH78" i="1"/>
  <c r="C78" i="1" s="1"/>
  <c r="BH77" i="1"/>
  <c r="C77" i="1" s="1"/>
  <c r="BH76" i="1"/>
  <c r="C76" i="1" s="1"/>
  <c r="BH75" i="1"/>
  <c r="C75" i="1" s="1"/>
  <c r="BH74" i="1"/>
  <c r="C74" i="1" s="1"/>
  <c r="BH73" i="1"/>
  <c r="C73" i="1" s="1"/>
  <c r="BH72" i="1"/>
  <c r="C72" i="1" s="1"/>
  <c r="BH71" i="1"/>
  <c r="C71" i="1" s="1"/>
  <c r="BH70" i="1"/>
  <c r="C70" i="1" s="1"/>
  <c r="BH69" i="1"/>
  <c r="C69" i="1" s="1"/>
  <c r="BH68" i="1"/>
  <c r="C68" i="1" s="1"/>
  <c r="BH67" i="1"/>
  <c r="C67" i="1" s="1"/>
  <c r="BH66" i="1"/>
  <c r="C66" i="1" s="1"/>
  <c r="BH65" i="1"/>
  <c r="C65" i="1" s="1"/>
  <c r="BH64" i="1"/>
  <c r="C64" i="1" s="1"/>
  <c r="BH63" i="1"/>
  <c r="C63" i="1" s="1"/>
  <c r="BH62" i="1"/>
  <c r="C62" i="1" s="1"/>
  <c r="BH61" i="1"/>
  <c r="C61" i="1" s="1"/>
  <c r="BH60" i="1"/>
  <c r="C60" i="1" s="1"/>
  <c r="BH59" i="1"/>
  <c r="C59" i="1" s="1"/>
  <c r="BH58" i="1"/>
  <c r="C58" i="1" s="1"/>
  <c r="BH57" i="1"/>
  <c r="C57" i="1" s="1"/>
  <c r="BH56" i="1"/>
  <c r="C56" i="1" s="1"/>
  <c r="BH55" i="1"/>
  <c r="C55" i="1" s="1"/>
  <c r="BH54" i="1"/>
  <c r="C54" i="1" s="1"/>
  <c r="BH53" i="1"/>
  <c r="C53" i="1" s="1"/>
  <c r="BH52" i="1"/>
  <c r="C52" i="1" s="1"/>
  <c r="BH51" i="1"/>
  <c r="C51" i="1" s="1"/>
  <c r="BH50" i="1"/>
  <c r="C50" i="1" s="1"/>
  <c r="BH49" i="1"/>
  <c r="C49" i="1" s="1"/>
  <c r="BH48" i="1"/>
  <c r="C48" i="1" s="1"/>
  <c r="BH47" i="1"/>
  <c r="C47" i="1" s="1"/>
  <c r="BH46" i="1"/>
  <c r="C46" i="1" s="1"/>
  <c r="BH45" i="1"/>
  <c r="C45" i="1" s="1"/>
  <c r="BH44" i="1"/>
  <c r="C44" i="1" s="1"/>
  <c r="BH43" i="1"/>
  <c r="C43" i="1" s="1"/>
  <c r="BH42" i="1"/>
  <c r="C42" i="1" s="1"/>
  <c r="BH41" i="1"/>
  <c r="C41" i="1" s="1"/>
  <c r="BH40" i="1"/>
  <c r="C40" i="1" s="1"/>
  <c r="BH39" i="1"/>
  <c r="C39" i="1" s="1"/>
  <c r="BH38" i="1"/>
  <c r="C38" i="1" s="1"/>
  <c r="BH37" i="1"/>
  <c r="C37" i="1" s="1"/>
  <c r="BH36" i="1"/>
  <c r="C36" i="1" s="1"/>
  <c r="BH35" i="1"/>
  <c r="C35" i="1" s="1"/>
  <c r="BH34" i="1"/>
  <c r="C34" i="1" s="1"/>
  <c r="BH33" i="1"/>
  <c r="C33" i="1" s="1"/>
  <c r="BH32" i="1"/>
  <c r="C32" i="1" s="1"/>
  <c r="BH31" i="1"/>
  <c r="C31" i="1" s="1"/>
  <c r="BH30" i="1"/>
  <c r="C30" i="1" s="1"/>
  <c r="BH29" i="1"/>
  <c r="C29" i="1" s="1"/>
  <c r="BH28" i="1"/>
  <c r="C28" i="1" s="1"/>
  <c r="BH27" i="1"/>
  <c r="C27" i="1" s="1"/>
  <c r="BH26" i="1"/>
  <c r="C26" i="1" s="1"/>
  <c r="BH25" i="1"/>
  <c r="C25" i="1" s="1"/>
  <c r="BH24" i="1"/>
  <c r="C24" i="1" s="1"/>
  <c r="BH23" i="1"/>
  <c r="C23" i="1" s="1"/>
  <c r="BH22" i="1"/>
  <c r="C22" i="1" s="1"/>
  <c r="BH21" i="1"/>
  <c r="C21" i="1" s="1"/>
  <c r="BH20" i="1"/>
  <c r="C20" i="1" s="1"/>
  <c r="BH19" i="1"/>
  <c r="C19" i="1" s="1"/>
  <c r="BH18" i="1"/>
  <c r="C18" i="1" s="1"/>
  <c r="BH17" i="1"/>
  <c r="C17" i="1" s="1"/>
  <c r="BH16" i="1"/>
  <c r="C16" i="1" s="1"/>
  <c r="BH15" i="1"/>
  <c r="C15" i="1" s="1"/>
  <c r="BH14" i="1"/>
  <c r="C14" i="1" s="1"/>
  <c r="BH13" i="1"/>
  <c r="C13" i="1" s="1"/>
  <c r="BH12" i="1"/>
  <c r="C12" i="1" s="1"/>
  <c r="BH11" i="1"/>
  <c r="C11" i="1" s="1"/>
  <c r="BH10" i="1"/>
  <c r="C10" i="1" s="1"/>
  <c r="BH9" i="1"/>
  <c r="C9" i="1" s="1"/>
  <c r="BH8" i="1"/>
  <c r="C8" i="1" s="1"/>
  <c r="BH7" i="1"/>
  <c r="C7" i="1" s="1"/>
  <c r="BH6" i="1"/>
  <c r="C6" i="1" s="1"/>
  <c r="BH5" i="1"/>
  <c r="C5" i="1" s="1"/>
  <c r="BH4" i="1"/>
  <c r="C4" i="1" s="1"/>
  <c r="BH3" i="1"/>
  <c r="C3" i="1" s="1"/>
  <c r="BH2" i="1"/>
  <c r="C2" i="1" s="1"/>
  <c r="BF3" i="1" l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651" i="1"/>
  <c r="BF652" i="1"/>
  <c r="BF653" i="1"/>
  <c r="BF654" i="1"/>
  <c r="BF655" i="1"/>
  <c r="BF656" i="1"/>
  <c r="BF657" i="1"/>
  <c r="BF658" i="1"/>
  <c r="BF659" i="1"/>
  <c r="BF660" i="1"/>
  <c r="BF661" i="1"/>
  <c r="BF662" i="1"/>
  <c r="BF663" i="1"/>
  <c r="BF664" i="1"/>
  <c r="BF665" i="1"/>
  <c r="BF666" i="1"/>
  <c r="BF667" i="1"/>
  <c r="BF668" i="1"/>
  <c r="BF669" i="1"/>
  <c r="BF670" i="1"/>
  <c r="BF671" i="1"/>
  <c r="BF672" i="1"/>
  <c r="BF673" i="1"/>
  <c r="BF674" i="1"/>
  <c r="BF675" i="1"/>
  <c r="BF676" i="1"/>
  <c r="BF677" i="1"/>
  <c r="BF678" i="1"/>
  <c r="BF679" i="1"/>
  <c r="BF680" i="1"/>
  <c r="BF681" i="1"/>
  <c r="BF682" i="1"/>
  <c r="BF683" i="1"/>
  <c r="BF684" i="1"/>
  <c r="BF685" i="1"/>
  <c r="BF686" i="1"/>
  <c r="BF687" i="1"/>
  <c r="BF688" i="1"/>
  <c r="BF689" i="1"/>
  <c r="BF690" i="1"/>
  <c r="BF691" i="1"/>
  <c r="BF692" i="1"/>
  <c r="BF693" i="1"/>
  <c r="BF694" i="1"/>
  <c r="BF695" i="1"/>
  <c r="BF696" i="1"/>
  <c r="BF697" i="1"/>
  <c r="BF698" i="1"/>
  <c r="BF699" i="1"/>
  <c r="BF700" i="1"/>
  <c r="BF701" i="1"/>
  <c r="BF702" i="1"/>
  <c r="BF703" i="1"/>
  <c r="BF704" i="1"/>
  <c r="BF705" i="1"/>
  <c r="BF706" i="1"/>
  <c r="BF707" i="1"/>
  <c r="BF708" i="1"/>
  <c r="BF709" i="1"/>
  <c r="BF710" i="1"/>
  <c r="BF711" i="1"/>
  <c r="BF712" i="1"/>
  <c r="BF713" i="1"/>
  <c r="BF714" i="1"/>
  <c r="BF715" i="1"/>
  <c r="BF716" i="1"/>
  <c r="BF717" i="1"/>
  <c r="BF718" i="1"/>
  <c r="BF719" i="1"/>
  <c r="BF720" i="1"/>
  <c r="BF721" i="1"/>
  <c r="BF722" i="1"/>
  <c r="BF723" i="1"/>
  <c r="BF724" i="1"/>
  <c r="BF725" i="1"/>
  <c r="BF726" i="1"/>
  <c r="BF727" i="1"/>
  <c r="BF728" i="1"/>
  <c r="BF729" i="1"/>
  <c r="BF730" i="1"/>
  <c r="BF731" i="1"/>
  <c r="BF732" i="1"/>
  <c r="BF733" i="1"/>
  <c r="BF734" i="1"/>
  <c r="BF735" i="1"/>
  <c r="BF736" i="1"/>
  <c r="BF737" i="1"/>
  <c r="BF738" i="1"/>
  <c r="BF739" i="1"/>
  <c r="BF740" i="1"/>
  <c r="BF741" i="1"/>
  <c r="BF742" i="1"/>
  <c r="BF743" i="1"/>
  <c r="BF744" i="1"/>
  <c r="BF745" i="1"/>
  <c r="BF746" i="1"/>
  <c r="BF747" i="1"/>
  <c r="BF748" i="1"/>
  <c r="BF749" i="1"/>
  <c r="BF750" i="1"/>
  <c r="BF751" i="1"/>
  <c r="BF752" i="1"/>
  <c r="BF753" i="1"/>
  <c r="BF754" i="1"/>
  <c r="BF755" i="1"/>
  <c r="BF756" i="1"/>
  <c r="BF757" i="1"/>
  <c r="BF758" i="1"/>
  <c r="BF759" i="1"/>
  <c r="BF760" i="1"/>
  <c r="BF761" i="1"/>
  <c r="BF762" i="1"/>
  <c r="BF763" i="1"/>
  <c r="BF764" i="1"/>
  <c r="BF765" i="1"/>
  <c r="BF766" i="1"/>
  <c r="BF767" i="1"/>
  <c r="BF768" i="1"/>
  <c r="BF769" i="1"/>
  <c r="BF770" i="1"/>
  <c r="BF771" i="1"/>
  <c r="BF772" i="1"/>
  <c r="BF773" i="1"/>
  <c r="BF774" i="1"/>
  <c r="BF775" i="1"/>
  <c r="BF776" i="1"/>
  <c r="BF777" i="1"/>
  <c r="BF778" i="1"/>
  <c r="BF779" i="1"/>
  <c r="BF780" i="1"/>
  <c r="BF781" i="1"/>
  <c r="BF782" i="1"/>
  <c r="BF783" i="1"/>
  <c r="BF784" i="1"/>
  <c r="BF785" i="1"/>
  <c r="BF786" i="1"/>
  <c r="BF787" i="1"/>
  <c r="BF788" i="1"/>
  <c r="BF789" i="1"/>
  <c r="BF790" i="1"/>
  <c r="BF791" i="1"/>
  <c r="BF792" i="1"/>
  <c r="BF793" i="1"/>
  <c r="BF794" i="1"/>
  <c r="BF795" i="1"/>
  <c r="BF796" i="1"/>
  <c r="BF797" i="1"/>
  <c r="BF798" i="1"/>
  <c r="BF799" i="1"/>
  <c r="BF800" i="1"/>
  <c r="BF801" i="1"/>
  <c r="BF802" i="1"/>
  <c r="BF803" i="1"/>
  <c r="BF804" i="1"/>
  <c r="BF805" i="1"/>
  <c r="BF806" i="1"/>
  <c r="BF807" i="1"/>
  <c r="BF808" i="1"/>
  <c r="BF809" i="1"/>
  <c r="BF810" i="1"/>
  <c r="BF811" i="1"/>
  <c r="BF812" i="1"/>
  <c r="BF813" i="1"/>
  <c r="BF814" i="1"/>
  <c r="BF815" i="1"/>
  <c r="BF816" i="1"/>
  <c r="BF817" i="1"/>
  <c r="BF818" i="1"/>
  <c r="BF819" i="1"/>
  <c r="BF820" i="1"/>
  <c r="BF821" i="1"/>
  <c r="BF822" i="1"/>
  <c r="BF823" i="1"/>
  <c r="BF824" i="1"/>
  <c r="BF825" i="1"/>
  <c r="BF826" i="1"/>
  <c r="BF827" i="1"/>
  <c r="BF828" i="1"/>
  <c r="BF829" i="1"/>
  <c r="BF830" i="1"/>
  <c r="BF831" i="1"/>
  <c r="BF832" i="1"/>
  <c r="BF833" i="1"/>
  <c r="BF834" i="1"/>
  <c r="BF835" i="1"/>
  <c r="BF836" i="1"/>
  <c r="BF837" i="1"/>
  <c r="BF838" i="1"/>
  <c r="BF839" i="1"/>
  <c r="BF840" i="1"/>
  <c r="BF841" i="1"/>
  <c r="BF842" i="1"/>
  <c r="BF843" i="1"/>
  <c r="BF844" i="1"/>
  <c r="BF845" i="1"/>
  <c r="BF846" i="1"/>
  <c r="BF847" i="1"/>
  <c r="BF848" i="1"/>
  <c r="BF849" i="1"/>
  <c r="BF850" i="1"/>
  <c r="BF851" i="1"/>
  <c r="BF852" i="1"/>
  <c r="BF853" i="1"/>
  <c r="BF854" i="1"/>
  <c r="BF855" i="1"/>
  <c r="BF856" i="1"/>
  <c r="BF857" i="1"/>
  <c r="BF858" i="1"/>
  <c r="BF859" i="1"/>
  <c r="BF860" i="1"/>
  <c r="BF861" i="1"/>
  <c r="BF862" i="1"/>
  <c r="BF863" i="1"/>
  <c r="BF864" i="1"/>
  <c r="BF865" i="1"/>
  <c r="BF866" i="1"/>
  <c r="BF867" i="1"/>
  <c r="BF868" i="1"/>
  <c r="BF869" i="1"/>
  <c r="BF870" i="1"/>
  <c r="BF871" i="1"/>
  <c r="BF872" i="1"/>
  <c r="BF873" i="1"/>
  <c r="BF874" i="1"/>
  <c r="BF875" i="1"/>
  <c r="BF876" i="1"/>
  <c r="BF877" i="1"/>
  <c r="BF878" i="1"/>
  <c r="BF879" i="1"/>
  <c r="BF880" i="1"/>
  <c r="BF881" i="1"/>
  <c r="BF882" i="1"/>
  <c r="BF883" i="1"/>
  <c r="BF884" i="1"/>
  <c r="BF885" i="1"/>
  <c r="BF886" i="1"/>
  <c r="BF887" i="1"/>
  <c r="BF888" i="1"/>
  <c r="BF889" i="1"/>
  <c r="BF890" i="1"/>
  <c r="BF891" i="1"/>
  <c r="BF892" i="1"/>
  <c r="BF893" i="1"/>
  <c r="BF894" i="1"/>
  <c r="BF895" i="1"/>
  <c r="BF896" i="1"/>
  <c r="BF897" i="1"/>
  <c r="BF898" i="1"/>
  <c r="BF899" i="1"/>
  <c r="BF900" i="1"/>
  <c r="BF901" i="1"/>
  <c r="BF902" i="1"/>
  <c r="BF903" i="1"/>
  <c r="BF904" i="1"/>
  <c r="BF905" i="1"/>
  <c r="BF906" i="1"/>
  <c r="BF907" i="1"/>
  <c r="BF908" i="1"/>
  <c r="BF909" i="1"/>
  <c r="BF910" i="1"/>
  <c r="BF911" i="1"/>
  <c r="BF912" i="1"/>
  <c r="BF913" i="1"/>
  <c r="BF914" i="1"/>
  <c r="BF915" i="1"/>
  <c r="BF916" i="1"/>
  <c r="BF917" i="1"/>
  <c r="BF918" i="1"/>
  <c r="BF919" i="1"/>
  <c r="BF920" i="1"/>
  <c r="BF921" i="1"/>
  <c r="BF922" i="1"/>
  <c r="BF923" i="1"/>
  <c r="BF924" i="1"/>
  <c r="BF925" i="1"/>
  <c r="BF926" i="1"/>
  <c r="BF927" i="1"/>
  <c r="BF928" i="1"/>
  <c r="BF929" i="1"/>
  <c r="BF930" i="1"/>
  <c r="BF931" i="1"/>
  <c r="BF932" i="1"/>
  <c r="BF933" i="1"/>
  <c r="BF934" i="1"/>
  <c r="BF935" i="1"/>
  <c r="BF936" i="1"/>
  <c r="BF937" i="1"/>
  <c r="BF938" i="1"/>
  <c r="BF939" i="1"/>
  <c r="BF940" i="1"/>
  <c r="BF941" i="1"/>
  <c r="BF942" i="1"/>
  <c r="BF943" i="1"/>
  <c r="BF944" i="1"/>
  <c r="BF945" i="1"/>
  <c r="BF946" i="1"/>
  <c r="BF947" i="1"/>
  <c r="BF948" i="1"/>
  <c r="BF949" i="1"/>
  <c r="BF950" i="1"/>
  <c r="BF951" i="1"/>
  <c r="BF952" i="1"/>
  <c r="BF953" i="1"/>
  <c r="BF954" i="1"/>
  <c r="BF955" i="1"/>
  <c r="BF956" i="1"/>
  <c r="BF957" i="1"/>
  <c r="BF958" i="1"/>
  <c r="BF959" i="1"/>
  <c r="BF960" i="1"/>
  <c r="BF961" i="1"/>
  <c r="BF962" i="1"/>
  <c r="BF963" i="1"/>
  <c r="BF964" i="1"/>
  <c r="BF965" i="1"/>
  <c r="BF966" i="1"/>
  <c r="BF967" i="1"/>
  <c r="BF968" i="1"/>
  <c r="BF969" i="1"/>
  <c r="BF970" i="1"/>
  <c r="BF971" i="1"/>
  <c r="BF972" i="1"/>
  <c r="BF973" i="1"/>
  <c r="BF974" i="1"/>
  <c r="BF975" i="1"/>
  <c r="BF976" i="1"/>
  <c r="BF977" i="1"/>
  <c r="BF978" i="1"/>
  <c r="BF979" i="1"/>
  <c r="BF980" i="1"/>
  <c r="BF981" i="1"/>
  <c r="BF982" i="1"/>
  <c r="BF983" i="1"/>
  <c r="BF984" i="1"/>
  <c r="BF985" i="1"/>
  <c r="BF986" i="1"/>
  <c r="BF987" i="1"/>
  <c r="BF988" i="1"/>
  <c r="BF989" i="1"/>
  <c r="BF990" i="1"/>
  <c r="BF991" i="1"/>
  <c r="BF992" i="1"/>
  <c r="BF993" i="1"/>
  <c r="BF994" i="1"/>
  <c r="BF995" i="1"/>
  <c r="BF996" i="1"/>
  <c r="BF997" i="1"/>
  <c r="BF998" i="1"/>
  <c r="BF999" i="1"/>
  <c r="BF1000" i="1"/>
  <c r="BF1001" i="1"/>
  <c r="BF1002" i="1"/>
  <c r="BF1003" i="1"/>
  <c r="BF1004" i="1"/>
  <c r="BF1005" i="1"/>
  <c r="BF1006" i="1"/>
  <c r="BF1007" i="1"/>
  <c r="BF1008" i="1"/>
  <c r="BF1009" i="1"/>
  <c r="BF1010" i="1"/>
  <c r="BF1011" i="1"/>
  <c r="BF1012" i="1"/>
  <c r="BF1013" i="1"/>
  <c r="BF1014" i="1"/>
  <c r="BF1015" i="1"/>
  <c r="BF1016" i="1"/>
  <c r="BF1017" i="1"/>
  <c r="BF1018" i="1"/>
  <c r="BF1019" i="1"/>
  <c r="BF1020" i="1"/>
  <c r="BF1021" i="1"/>
  <c r="BF1022" i="1"/>
  <c r="BF1023" i="1"/>
  <c r="BF1024" i="1"/>
  <c r="BF1025" i="1"/>
  <c r="BF1026" i="1"/>
  <c r="BF1027" i="1"/>
  <c r="BF1028" i="1"/>
  <c r="BF1029" i="1"/>
  <c r="BF1030" i="1"/>
  <c r="BF1031" i="1"/>
  <c r="BF1032" i="1"/>
  <c r="BF1033" i="1"/>
  <c r="BF1034" i="1"/>
  <c r="BF1035" i="1"/>
  <c r="BF1036" i="1"/>
  <c r="BF1037" i="1"/>
  <c r="BF1038" i="1"/>
  <c r="BF1039" i="1"/>
  <c r="BF1040" i="1"/>
  <c r="BF1041" i="1"/>
  <c r="BF1042" i="1"/>
  <c r="BF1043" i="1"/>
  <c r="BF1044" i="1"/>
  <c r="BF1045" i="1"/>
  <c r="BF1046" i="1"/>
  <c r="BF1047" i="1"/>
  <c r="BF1048" i="1"/>
  <c r="BF1049" i="1"/>
  <c r="BF1050" i="1"/>
  <c r="BF1051" i="1"/>
  <c r="BF1052" i="1"/>
  <c r="BF1053" i="1"/>
  <c r="BF1054" i="1"/>
  <c r="BF1055" i="1"/>
  <c r="BF1056" i="1"/>
  <c r="BF1057" i="1"/>
  <c r="BF1058" i="1"/>
  <c r="BF1059" i="1"/>
  <c r="BF1060" i="1"/>
  <c r="BF1061" i="1"/>
  <c r="BF1062" i="1"/>
  <c r="BF1063" i="1"/>
  <c r="BF1064" i="1"/>
  <c r="BF1065" i="1"/>
  <c r="BF1066" i="1"/>
  <c r="BF1067" i="1"/>
  <c r="BF1068" i="1"/>
  <c r="BF1069" i="1"/>
  <c r="BF1070" i="1"/>
  <c r="BF1071" i="1"/>
  <c r="BF1072" i="1"/>
  <c r="BF1073" i="1"/>
  <c r="BF1074" i="1"/>
  <c r="BF1075" i="1"/>
  <c r="BF1076" i="1"/>
  <c r="BF1077" i="1"/>
  <c r="BF1078" i="1"/>
  <c r="BF1079" i="1"/>
  <c r="BF1080" i="1"/>
  <c r="BF1081" i="1"/>
  <c r="BF1082" i="1"/>
  <c r="BF1083" i="1"/>
  <c r="BF1084" i="1"/>
  <c r="BF1085" i="1"/>
  <c r="BF1086" i="1"/>
  <c r="BF1087" i="1"/>
  <c r="BF1088" i="1"/>
  <c r="BF1089" i="1"/>
  <c r="BF1090" i="1"/>
  <c r="BF1091" i="1"/>
  <c r="BF1092" i="1"/>
  <c r="BF1093" i="1"/>
  <c r="BF1094" i="1"/>
  <c r="BF1095" i="1"/>
  <c r="BF1096" i="1"/>
  <c r="BF1097" i="1"/>
  <c r="BF1098" i="1"/>
  <c r="BF1099" i="1"/>
  <c r="BF1100" i="1"/>
  <c r="BF1101" i="1"/>
  <c r="BF1102" i="1"/>
  <c r="BF1103" i="1"/>
  <c r="BF1104" i="1"/>
  <c r="BF1105" i="1"/>
  <c r="BF1106" i="1"/>
  <c r="BF1107" i="1"/>
  <c r="BF1108" i="1"/>
  <c r="BF1109" i="1"/>
  <c r="BF1110" i="1"/>
  <c r="BF1111" i="1"/>
  <c r="BF1112" i="1"/>
  <c r="BF1113" i="1"/>
  <c r="BF1114" i="1"/>
  <c r="BF1115" i="1"/>
  <c r="BF1116" i="1"/>
  <c r="BF1117" i="1"/>
  <c r="BF1118" i="1"/>
  <c r="BF1119" i="1"/>
  <c r="BF2" i="1"/>
  <c r="BE651" i="1"/>
  <c r="BB651" i="1" s="1"/>
  <c r="BE652" i="1"/>
  <c r="BE653" i="1"/>
  <c r="BE654" i="1"/>
  <c r="BE655" i="1"/>
  <c r="BB655" i="1" s="1"/>
  <c r="BE656" i="1"/>
  <c r="BE657" i="1"/>
  <c r="BE658" i="1"/>
  <c r="BE659" i="1"/>
  <c r="BB659" i="1" s="1"/>
  <c r="BE660" i="1"/>
  <c r="BE661" i="1"/>
  <c r="BE662" i="1"/>
  <c r="BE663" i="1"/>
  <c r="BB663" i="1" s="1"/>
  <c r="BE664" i="1"/>
  <c r="BE665" i="1"/>
  <c r="BE666" i="1"/>
  <c r="BE667" i="1"/>
  <c r="BB667" i="1" s="1"/>
  <c r="BE668" i="1"/>
  <c r="BE669" i="1"/>
  <c r="BE670" i="1"/>
  <c r="BE671" i="1"/>
  <c r="BB671" i="1" s="1"/>
  <c r="BE672" i="1"/>
  <c r="BE673" i="1"/>
  <c r="BE674" i="1"/>
  <c r="BE675" i="1"/>
  <c r="BB675" i="1" s="1"/>
  <c r="BE676" i="1"/>
  <c r="BE677" i="1"/>
  <c r="BE678" i="1"/>
  <c r="BE679" i="1"/>
  <c r="BB679" i="1" s="1"/>
  <c r="BE680" i="1"/>
  <c r="BE681" i="1"/>
  <c r="BE682" i="1"/>
  <c r="BE683" i="1"/>
  <c r="BB683" i="1" s="1"/>
  <c r="BE684" i="1"/>
  <c r="BE685" i="1"/>
  <c r="BE686" i="1"/>
  <c r="BE687" i="1"/>
  <c r="BB687" i="1" s="1"/>
  <c r="BE688" i="1"/>
  <c r="BE689" i="1"/>
  <c r="BE690" i="1"/>
  <c r="BE691" i="1"/>
  <c r="BB691" i="1" s="1"/>
  <c r="BE692" i="1"/>
  <c r="BE693" i="1"/>
  <c r="BE694" i="1"/>
  <c r="BE695" i="1"/>
  <c r="BB695" i="1" s="1"/>
  <c r="BE696" i="1"/>
  <c r="BE697" i="1"/>
  <c r="BE698" i="1"/>
  <c r="BE699" i="1"/>
  <c r="BB699" i="1" s="1"/>
  <c r="BE700" i="1"/>
  <c r="BE701" i="1"/>
  <c r="BE702" i="1"/>
  <c r="BE703" i="1"/>
  <c r="BB703" i="1" s="1"/>
  <c r="BE704" i="1"/>
  <c r="BE705" i="1"/>
  <c r="BE706" i="1"/>
  <c r="BE707" i="1"/>
  <c r="BB707" i="1" s="1"/>
  <c r="BE708" i="1"/>
  <c r="BE709" i="1"/>
  <c r="BE710" i="1"/>
  <c r="BE711" i="1"/>
  <c r="BB711" i="1" s="1"/>
  <c r="BE712" i="1"/>
  <c r="BE713" i="1"/>
  <c r="BE714" i="1"/>
  <c r="BE715" i="1"/>
  <c r="BB715" i="1" s="1"/>
  <c r="BE716" i="1"/>
  <c r="BE717" i="1"/>
  <c r="BE718" i="1"/>
  <c r="BE719" i="1"/>
  <c r="BB719" i="1" s="1"/>
  <c r="BE720" i="1"/>
  <c r="BE721" i="1"/>
  <c r="BE722" i="1"/>
  <c r="BE723" i="1"/>
  <c r="BB723" i="1" s="1"/>
  <c r="BE724" i="1"/>
  <c r="BE725" i="1"/>
  <c r="BE726" i="1"/>
  <c r="BE727" i="1"/>
  <c r="BB727" i="1" s="1"/>
  <c r="BE728" i="1"/>
  <c r="BE729" i="1"/>
  <c r="BE730" i="1"/>
  <c r="BE731" i="1"/>
  <c r="BB731" i="1" s="1"/>
  <c r="BE732" i="1"/>
  <c r="BE733" i="1"/>
  <c r="BE734" i="1"/>
  <c r="BE735" i="1"/>
  <c r="BB735" i="1" s="1"/>
  <c r="BE736" i="1"/>
  <c r="BE737" i="1"/>
  <c r="BE738" i="1"/>
  <c r="BE739" i="1"/>
  <c r="BB739" i="1" s="1"/>
  <c r="BE740" i="1"/>
  <c r="BE741" i="1"/>
  <c r="BE742" i="1"/>
  <c r="BE743" i="1"/>
  <c r="BB743" i="1" s="1"/>
  <c r="BE744" i="1"/>
  <c r="BE745" i="1"/>
  <c r="BE746" i="1"/>
  <c r="BE747" i="1"/>
  <c r="BB747" i="1" s="1"/>
  <c r="BE748" i="1"/>
  <c r="BE749" i="1"/>
  <c r="BE750" i="1"/>
  <c r="BE751" i="1"/>
  <c r="BB751" i="1" s="1"/>
  <c r="BE752" i="1"/>
  <c r="BE753" i="1"/>
  <c r="BE754" i="1"/>
  <c r="BE755" i="1"/>
  <c r="BB755" i="1" s="1"/>
  <c r="BE756" i="1"/>
  <c r="BE757" i="1"/>
  <c r="BE758" i="1"/>
  <c r="BE759" i="1"/>
  <c r="BB759" i="1" s="1"/>
  <c r="BE760" i="1"/>
  <c r="BE761" i="1"/>
  <c r="BE762" i="1"/>
  <c r="BE763" i="1"/>
  <c r="BB763" i="1" s="1"/>
  <c r="BE764" i="1"/>
  <c r="BE765" i="1"/>
  <c r="BE766" i="1"/>
  <c r="BE767" i="1"/>
  <c r="BB767" i="1" s="1"/>
  <c r="BE768" i="1"/>
  <c r="BE769" i="1"/>
  <c r="BE770" i="1"/>
  <c r="BE771" i="1"/>
  <c r="BB771" i="1" s="1"/>
  <c r="BE772" i="1"/>
  <c r="BE773" i="1"/>
  <c r="BE774" i="1"/>
  <c r="BE775" i="1"/>
  <c r="BB775" i="1" s="1"/>
  <c r="BE776" i="1"/>
  <c r="BE777" i="1"/>
  <c r="BE778" i="1"/>
  <c r="BE779" i="1"/>
  <c r="BB779" i="1" s="1"/>
  <c r="BE780" i="1"/>
  <c r="BE781" i="1"/>
  <c r="BE782" i="1"/>
  <c r="BE783" i="1"/>
  <c r="BB783" i="1" s="1"/>
  <c r="BE784" i="1"/>
  <c r="BE785" i="1"/>
  <c r="BE786" i="1"/>
  <c r="BE787" i="1"/>
  <c r="BB787" i="1" s="1"/>
  <c r="BE788" i="1"/>
  <c r="BE789" i="1"/>
  <c r="BE790" i="1"/>
  <c r="BE791" i="1"/>
  <c r="BB791" i="1" s="1"/>
  <c r="BE792" i="1"/>
  <c r="BE793" i="1"/>
  <c r="BE794" i="1"/>
  <c r="BE795" i="1"/>
  <c r="BB795" i="1" s="1"/>
  <c r="BE796" i="1"/>
  <c r="BE797" i="1"/>
  <c r="BE798" i="1"/>
  <c r="BE799" i="1"/>
  <c r="BB799" i="1" s="1"/>
  <c r="BE800" i="1"/>
  <c r="BE801" i="1"/>
  <c r="BE802" i="1"/>
  <c r="BE803" i="1"/>
  <c r="BB803" i="1" s="1"/>
  <c r="BE804" i="1"/>
  <c r="BE805" i="1"/>
  <c r="BE806" i="1"/>
  <c r="BE807" i="1"/>
  <c r="BB807" i="1" s="1"/>
  <c r="BE808" i="1"/>
  <c r="BE809" i="1"/>
  <c r="BE810" i="1"/>
  <c r="BE811" i="1"/>
  <c r="BB811" i="1" s="1"/>
  <c r="BE812" i="1"/>
  <c r="BE813" i="1"/>
  <c r="BE814" i="1"/>
  <c r="BE815" i="1"/>
  <c r="BB815" i="1" s="1"/>
  <c r="BE816" i="1"/>
  <c r="BE817" i="1"/>
  <c r="BE818" i="1"/>
  <c r="BE819" i="1"/>
  <c r="BB819" i="1" s="1"/>
  <c r="BE820" i="1"/>
  <c r="BE821" i="1"/>
  <c r="BE822" i="1"/>
  <c r="BE823" i="1"/>
  <c r="BB823" i="1" s="1"/>
  <c r="BE824" i="1"/>
  <c r="BE825" i="1"/>
  <c r="BE826" i="1"/>
  <c r="BE827" i="1"/>
  <c r="BB827" i="1" s="1"/>
  <c r="BE828" i="1"/>
  <c r="BE829" i="1"/>
  <c r="BE830" i="1"/>
  <c r="BE831" i="1"/>
  <c r="BB831" i="1" s="1"/>
  <c r="BE832" i="1"/>
  <c r="BE833" i="1"/>
  <c r="BE834" i="1"/>
  <c r="BE835" i="1"/>
  <c r="BB835" i="1" s="1"/>
  <c r="BE836" i="1"/>
  <c r="BE837" i="1"/>
  <c r="BE838" i="1"/>
  <c r="BE839" i="1"/>
  <c r="BB839" i="1" s="1"/>
  <c r="BE840" i="1"/>
  <c r="BE841" i="1"/>
  <c r="BE842" i="1"/>
  <c r="BE843" i="1"/>
  <c r="BB843" i="1" s="1"/>
  <c r="BE844" i="1"/>
  <c r="BE845" i="1"/>
  <c r="BE846" i="1"/>
  <c r="BE847" i="1"/>
  <c r="BB847" i="1" s="1"/>
  <c r="BE848" i="1"/>
  <c r="BE849" i="1"/>
  <c r="BE850" i="1"/>
  <c r="BE851" i="1"/>
  <c r="BB851" i="1" s="1"/>
  <c r="BE852" i="1"/>
  <c r="BE853" i="1"/>
  <c r="BE854" i="1"/>
  <c r="BE855" i="1"/>
  <c r="BB855" i="1" s="1"/>
  <c r="BE856" i="1"/>
  <c r="BE857" i="1"/>
  <c r="BE858" i="1"/>
  <c r="BE859" i="1"/>
  <c r="BB859" i="1" s="1"/>
  <c r="BE860" i="1"/>
  <c r="BE861" i="1"/>
  <c r="BE862" i="1"/>
  <c r="BE863" i="1"/>
  <c r="BB863" i="1" s="1"/>
  <c r="BE864" i="1"/>
  <c r="BE865" i="1"/>
  <c r="BE866" i="1"/>
  <c r="BE867" i="1"/>
  <c r="BB867" i="1" s="1"/>
  <c r="BE868" i="1"/>
  <c r="BE869" i="1"/>
  <c r="BE870" i="1"/>
  <c r="BE871" i="1"/>
  <c r="BB871" i="1" s="1"/>
  <c r="BE872" i="1"/>
  <c r="BE873" i="1"/>
  <c r="BE874" i="1"/>
  <c r="BE875" i="1"/>
  <c r="BB875" i="1" s="1"/>
  <c r="BE876" i="1"/>
  <c r="BE877" i="1"/>
  <c r="BE878" i="1"/>
  <c r="BE879" i="1"/>
  <c r="BB879" i="1" s="1"/>
  <c r="BE880" i="1"/>
  <c r="BE881" i="1"/>
  <c r="BE882" i="1"/>
  <c r="BE883" i="1"/>
  <c r="BB883" i="1" s="1"/>
  <c r="BE884" i="1"/>
  <c r="BE885" i="1"/>
  <c r="BE886" i="1"/>
  <c r="BE887" i="1"/>
  <c r="BB887" i="1" s="1"/>
  <c r="BE888" i="1"/>
  <c r="BE889" i="1"/>
  <c r="BE890" i="1"/>
  <c r="BE891" i="1"/>
  <c r="BB891" i="1" s="1"/>
  <c r="BE892" i="1"/>
  <c r="BE893" i="1"/>
  <c r="BE894" i="1"/>
  <c r="BE895" i="1"/>
  <c r="BB895" i="1" s="1"/>
  <c r="BE896" i="1"/>
  <c r="BE897" i="1"/>
  <c r="BE898" i="1"/>
  <c r="BE899" i="1"/>
  <c r="BB899" i="1" s="1"/>
  <c r="BE900" i="1"/>
  <c r="BE901" i="1"/>
  <c r="BE902" i="1"/>
  <c r="BE903" i="1"/>
  <c r="BB903" i="1" s="1"/>
  <c r="BE904" i="1"/>
  <c r="BE905" i="1"/>
  <c r="BE906" i="1"/>
  <c r="BE907" i="1"/>
  <c r="BB907" i="1" s="1"/>
  <c r="BE908" i="1"/>
  <c r="BE909" i="1"/>
  <c r="BE910" i="1"/>
  <c r="BE911" i="1"/>
  <c r="BB911" i="1" s="1"/>
  <c r="BE912" i="1"/>
  <c r="BE913" i="1"/>
  <c r="BE914" i="1"/>
  <c r="BE915" i="1"/>
  <c r="BB915" i="1" s="1"/>
  <c r="BE916" i="1"/>
  <c r="BE917" i="1"/>
  <c r="BE918" i="1"/>
  <c r="BE919" i="1"/>
  <c r="BB919" i="1" s="1"/>
  <c r="BE920" i="1"/>
  <c r="BE921" i="1"/>
  <c r="BE922" i="1"/>
  <c r="BE923" i="1"/>
  <c r="BB923" i="1" s="1"/>
  <c r="BE924" i="1"/>
  <c r="BE925" i="1"/>
  <c r="BE926" i="1"/>
  <c r="BE927" i="1"/>
  <c r="BB927" i="1" s="1"/>
  <c r="BE928" i="1"/>
  <c r="BE929" i="1"/>
  <c r="BE930" i="1"/>
  <c r="BE931" i="1"/>
  <c r="BB931" i="1" s="1"/>
  <c r="BE932" i="1"/>
  <c r="BE933" i="1"/>
  <c r="BE934" i="1"/>
  <c r="BE935" i="1"/>
  <c r="BB935" i="1" s="1"/>
  <c r="BE936" i="1"/>
  <c r="BE937" i="1"/>
  <c r="BE938" i="1"/>
  <c r="BE939" i="1"/>
  <c r="BB939" i="1" s="1"/>
  <c r="BE940" i="1"/>
  <c r="BE941" i="1"/>
  <c r="BE942" i="1"/>
  <c r="BE943" i="1"/>
  <c r="BB943" i="1" s="1"/>
  <c r="BE944" i="1"/>
  <c r="BE945" i="1"/>
  <c r="BE946" i="1"/>
  <c r="BE947" i="1"/>
  <c r="BB947" i="1" s="1"/>
  <c r="BE948" i="1"/>
  <c r="BE949" i="1"/>
  <c r="BE950" i="1"/>
  <c r="BE951" i="1"/>
  <c r="BB951" i="1" s="1"/>
  <c r="BE952" i="1"/>
  <c r="BE953" i="1"/>
  <c r="BE954" i="1"/>
  <c r="BE955" i="1"/>
  <c r="BB955" i="1" s="1"/>
  <c r="BE956" i="1"/>
  <c r="BE957" i="1"/>
  <c r="BE958" i="1"/>
  <c r="BE959" i="1"/>
  <c r="BB959" i="1" s="1"/>
  <c r="BE960" i="1"/>
  <c r="BE961" i="1"/>
  <c r="BE962" i="1"/>
  <c r="BE963" i="1"/>
  <c r="BB963" i="1" s="1"/>
  <c r="BE964" i="1"/>
  <c r="BE965" i="1"/>
  <c r="BE966" i="1"/>
  <c r="BE967" i="1"/>
  <c r="BB967" i="1" s="1"/>
  <c r="BE968" i="1"/>
  <c r="BE969" i="1"/>
  <c r="BE970" i="1"/>
  <c r="BE971" i="1"/>
  <c r="BB971" i="1" s="1"/>
  <c r="BE972" i="1"/>
  <c r="BE973" i="1"/>
  <c r="BE974" i="1"/>
  <c r="BE975" i="1"/>
  <c r="BB975" i="1" s="1"/>
  <c r="BE976" i="1"/>
  <c r="BE977" i="1"/>
  <c r="BE978" i="1"/>
  <c r="BE979" i="1"/>
  <c r="BB979" i="1" s="1"/>
  <c r="BE980" i="1"/>
  <c r="BE981" i="1"/>
  <c r="BE982" i="1"/>
  <c r="BE983" i="1"/>
  <c r="BB983" i="1" s="1"/>
  <c r="BE984" i="1"/>
  <c r="BE985" i="1"/>
  <c r="BE986" i="1"/>
  <c r="BE987" i="1"/>
  <c r="BB987" i="1" s="1"/>
  <c r="BE988" i="1"/>
  <c r="BE989" i="1"/>
  <c r="BE990" i="1"/>
  <c r="BE991" i="1"/>
  <c r="BB991" i="1" s="1"/>
  <c r="BE992" i="1"/>
  <c r="BE993" i="1"/>
  <c r="BE994" i="1"/>
  <c r="BE995" i="1"/>
  <c r="BB995" i="1" s="1"/>
  <c r="BE996" i="1"/>
  <c r="BE997" i="1"/>
  <c r="BE998" i="1"/>
  <c r="BE999" i="1"/>
  <c r="BB999" i="1" s="1"/>
  <c r="BE1000" i="1"/>
  <c r="BE1001" i="1"/>
  <c r="BE1002" i="1"/>
  <c r="BE1003" i="1"/>
  <c r="BB1003" i="1" s="1"/>
  <c r="BE1004" i="1"/>
  <c r="BE1005" i="1"/>
  <c r="BE1006" i="1"/>
  <c r="BE1007" i="1"/>
  <c r="BB1007" i="1" s="1"/>
  <c r="BE1008" i="1"/>
  <c r="BE1009" i="1"/>
  <c r="BE1010" i="1"/>
  <c r="BE1011" i="1"/>
  <c r="BB1011" i="1" s="1"/>
  <c r="BE1012" i="1"/>
  <c r="BE1013" i="1"/>
  <c r="BE1014" i="1"/>
  <c r="BE1015" i="1"/>
  <c r="BB1015" i="1" s="1"/>
  <c r="BE1016" i="1"/>
  <c r="BE1017" i="1"/>
  <c r="BE1018" i="1"/>
  <c r="BE1019" i="1"/>
  <c r="BB1019" i="1" s="1"/>
  <c r="BE1020" i="1"/>
  <c r="BE1021" i="1"/>
  <c r="BE1022" i="1"/>
  <c r="BE1023" i="1"/>
  <c r="BB1023" i="1" s="1"/>
  <c r="BE1024" i="1"/>
  <c r="BE1025" i="1"/>
  <c r="BE1026" i="1"/>
  <c r="BE1027" i="1"/>
  <c r="BB1027" i="1" s="1"/>
  <c r="BE1028" i="1"/>
  <c r="BE1029" i="1"/>
  <c r="BE1030" i="1"/>
  <c r="BE1031" i="1"/>
  <c r="BB1031" i="1" s="1"/>
  <c r="BE1032" i="1"/>
  <c r="BE1033" i="1"/>
  <c r="BE1034" i="1"/>
  <c r="BE1035" i="1"/>
  <c r="BB1035" i="1" s="1"/>
  <c r="BE1036" i="1"/>
  <c r="BE1037" i="1"/>
  <c r="BE1038" i="1"/>
  <c r="BE1039" i="1"/>
  <c r="BB1039" i="1" s="1"/>
  <c r="BE1040" i="1"/>
  <c r="BE1041" i="1"/>
  <c r="BE1042" i="1"/>
  <c r="BE1043" i="1"/>
  <c r="BB1043" i="1" s="1"/>
  <c r="BE1044" i="1"/>
  <c r="BE1045" i="1"/>
  <c r="BE1046" i="1"/>
  <c r="BE1047" i="1"/>
  <c r="BB1047" i="1" s="1"/>
  <c r="BE1048" i="1"/>
  <c r="BE1049" i="1"/>
  <c r="BE1050" i="1"/>
  <c r="BE1051" i="1"/>
  <c r="BB1051" i="1" s="1"/>
  <c r="BE1052" i="1"/>
  <c r="BE1053" i="1"/>
  <c r="BE1054" i="1"/>
  <c r="BE1055" i="1"/>
  <c r="BB1055" i="1" s="1"/>
  <c r="BE1056" i="1"/>
  <c r="BE1057" i="1"/>
  <c r="BE1058" i="1"/>
  <c r="BE1059" i="1"/>
  <c r="BB1059" i="1" s="1"/>
  <c r="BE1060" i="1"/>
  <c r="BE1061" i="1"/>
  <c r="BE1062" i="1"/>
  <c r="BE1063" i="1"/>
  <c r="BB1063" i="1" s="1"/>
  <c r="BE1064" i="1"/>
  <c r="BE1065" i="1"/>
  <c r="BE1066" i="1"/>
  <c r="BE1067" i="1"/>
  <c r="BB1067" i="1" s="1"/>
  <c r="BE1068" i="1"/>
  <c r="BE1069" i="1"/>
  <c r="BE1070" i="1"/>
  <c r="BE1071" i="1"/>
  <c r="BB1071" i="1" s="1"/>
  <c r="BE1072" i="1"/>
  <c r="BE1073" i="1"/>
  <c r="BE1074" i="1"/>
  <c r="BE1075" i="1"/>
  <c r="BB1075" i="1" s="1"/>
  <c r="BE1076" i="1"/>
  <c r="BE1077" i="1"/>
  <c r="BE1078" i="1"/>
  <c r="BE1079" i="1"/>
  <c r="BB1079" i="1" s="1"/>
  <c r="BE1080" i="1"/>
  <c r="BE1081" i="1"/>
  <c r="BE1082" i="1"/>
  <c r="BE1083" i="1"/>
  <c r="BB1083" i="1" s="1"/>
  <c r="BE1084" i="1"/>
  <c r="BE1085" i="1"/>
  <c r="BE1086" i="1"/>
  <c r="BE1087" i="1"/>
  <c r="BB1087" i="1" s="1"/>
  <c r="BE1088" i="1"/>
  <c r="BE1089" i="1"/>
  <c r="BE1090" i="1"/>
  <c r="BE1091" i="1"/>
  <c r="BB1091" i="1" s="1"/>
  <c r="BE1092" i="1"/>
  <c r="BE1093" i="1"/>
  <c r="BE1094" i="1"/>
  <c r="BE1095" i="1"/>
  <c r="BB1095" i="1" s="1"/>
  <c r="BE1096" i="1"/>
  <c r="BE1097" i="1"/>
  <c r="BE1098" i="1"/>
  <c r="BE1099" i="1"/>
  <c r="BB1099" i="1" s="1"/>
  <c r="BE1100" i="1"/>
  <c r="BE1101" i="1"/>
  <c r="BE1102" i="1"/>
  <c r="BE1103" i="1"/>
  <c r="BB1103" i="1" s="1"/>
  <c r="BE1104" i="1"/>
  <c r="BE1105" i="1"/>
  <c r="BE1106" i="1"/>
  <c r="BE1107" i="1"/>
  <c r="BB1107" i="1" s="1"/>
  <c r="BE1108" i="1"/>
  <c r="BE1109" i="1"/>
  <c r="BE1110" i="1"/>
  <c r="BE1111" i="1"/>
  <c r="BB1111" i="1" s="1"/>
  <c r="BE1112" i="1"/>
  <c r="BE1113" i="1"/>
  <c r="BE1114" i="1"/>
  <c r="BE1115" i="1"/>
  <c r="BB1115" i="1" s="1"/>
  <c r="BE1116" i="1"/>
  <c r="BE1117" i="1"/>
  <c r="BE1118" i="1"/>
  <c r="BE1119" i="1"/>
  <c r="BB1119" i="1" s="1"/>
  <c r="BE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B1118" i="1" l="1"/>
  <c r="BB1114" i="1"/>
  <c r="BB1110" i="1"/>
  <c r="BB1106" i="1"/>
  <c r="BB1102" i="1"/>
  <c r="BB1098" i="1"/>
  <c r="BB1094" i="1"/>
  <c r="BB1090" i="1"/>
  <c r="BB1086" i="1"/>
  <c r="BB1082" i="1"/>
  <c r="BB1078" i="1"/>
  <c r="BB1074" i="1"/>
  <c r="BB1070" i="1"/>
  <c r="BB1066" i="1"/>
  <c r="BB1062" i="1"/>
  <c r="BB1058" i="1"/>
  <c r="BB1054" i="1"/>
  <c r="BB1050" i="1"/>
  <c r="BB1046" i="1"/>
  <c r="BB1042" i="1"/>
  <c r="BB1038" i="1"/>
  <c r="BB1034" i="1"/>
  <c r="BB1030" i="1"/>
  <c r="BB1026" i="1"/>
  <c r="BB1022" i="1"/>
  <c r="BB1018" i="1"/>
  <c r="BB1014" i="1"/>
  <c r="BB1010" i="1"/>
  <c r="BB1006" i="1"/>
  <c r="BB1002" i="1"/>
  <c r="BB998" i="1"/>
  <c r="BB994" i="1"/>
  <c r="BB990" i="1"/>
  <c r="BB986" i="1"/>
  <c r="BB982" i="1"/>
  <c r="BB978" i="1"/>
  <c r="BB974" i="1"/>
  <c r="BB970" i="1"/>
  <c r="BB966" i="1"/>
  <c r="BB962" i="1"/>
  <c r="BB958" i="1"/>
  <c r="BB954" i="1"/>
  <c r="BB950" i="1"/>
  <c r="BB946" i="1"/>
  <c r="BB942" i="1"/>
  <c r="BB938" i="1"/>
  <c r="BB934" i="1"/>
  <c r="BB930" i="1"/>
  <c r="BB926" i="1"/>
  <c r="BB922" i="1"/>
  <c r="BB918" i="1"/>
  <c r="BB914" i="1"/>
  <c r="BB910" i="1"/>
  <c r="BB906" i="1"/>
  <c r="BB902" i="1"/>
  <c r="BB1117" i="1"/>
  <c r="BB1113" i="1"/>
  <c r="BB1109" i="1"/>
  <c r="BB1105" i="1"/>
  <c r="BB1101" i="1"/>
  <c r="BB1097" i="1"/>
  <c r="BB1093" i="1"/>
  <c r="BB1089" i="1"/>
  <c r="BB1085" i="1"/>
  <c r="BB1081" i="1"/>
  <c r="BB1077" i="1"/>
  <c r="BB1073" i="1"/>
  <c r="BB1069" i="1"/>
  <c r="BB1065" i="1"/>
  <c r="BB1061" i="1"/>
  <c r="BB1057" i="1"/>
  <c r="BB1053" i="1"/>
  <c r="BB1049" i="1"/>
  <c r="BB1045" i="1"/>
  <c r="BB1041" i="1"/>
  <c r="BB1037" i="1"/>
  <c r="BB1033" i="1"/>
  <c r="BB1029" i="1"/>
  <c r="BB1025" i="1"/>
  <c r="BB1021" i="1"/>
  <c r="BB1017" i="1"/>
  <c r="BB1013" i="1"/>
  <c r="BB1009" i="1"/>
  <c r="BB1005" i="1"/>
  <c r="BB1001" i="1"/>
  <c r="BB997" i="1"/>
  <c r="BB993" i="1"/>
  <c r="BB898" i="1"/>
  <c r="BB894" i="1"/>
  <c r="BB890" i="1"/>
  <c r="BB886" i="1"/>
  <c r="BB882" i="1"/>
  <c r="BB878" i="1"/>
  <c r="BB874" i="1"/>
  <c r="BB870" i="1"/>
  <c r="BB866" i="1"/>
  <c r="BB862" i="1"/>
  <c r="BB858" i="1"/>
  <c r="BB854" i="1"/>
  <c r="BB850" i="1"/>
  <c r="BB846" i="1"/>
  <c r="BB842" i="1"/>
  <c r="BB838" i="1"/>
  <c r="BB834" i="1"/>
  <c r="BB830" i="1"/>
  <c r="BB826" i="1"/>
  <c r="BB822" i="1"/>
  <c r="BB818" i="1"/>
  <c r="BB814" i="1"/>
  <c r="BB810" i="1"/>
  <c r="BB806" i="1"/>
  <c r="BB802" i="1"/>
  <c r="BB798" i="1"/>
  <c r="BB794" i="1"/>
  <c r="BB790" i="1"/>
  <c r="BB786" i="1"/>
  <c r="BB782" i="1"/>
  <c r="BB778" i="1"/>
  <c r="BB774" i="1"/>
  <c r="BB770" i="1"/>
  <c r="BB766" i="1"/>
  <c r="BB762" i="1"/>
  <c r="BB758" i="1"/>
  <c r="BB754" i="1"/>
  <c r="BB750" i="1"/>
  <c r="BB746" i="1"/>
  <c r="BB742" i="1"/>
  <c r="BB738" i="1"/>
  <c r="BB734" i="1"/>
  <c r="BB730" i="1"/>
  <c r="BB726" i="1"/>
  <c r="BB722" i="1"/>
  <c r="BB718" i="1"/>
  <c r="BB714" i="1"/>
  <c r="BB710" i="1"/>
  <c r="BB706" i="1"/>
  <c r="BB702" i="1"/>
  <c r="BB698" i="1"/>
  <c r="BB694" i="1"/>
  <c r="BB690" i="1"/>
  <c r="BB686" i="1"/>
  <c r="BB682" i="1"/>
  <c r="BB678" i="1"/>
  <c r="BB674" i="1"/>
  <c r="BB670" i="1"/>
  <c r="BB666" i="1"/>
  <c r="BB662" i="1"/>
  <c r="BB658" i="1"/>
  <c r="BB654" i="1"/>
  <c r="BB989" i="1"/>
  <c r="BB985" i="1"/>
  <c r="BB981" i="1"/>
  <c r="BB977" i="1"/>
  <c r="BB973" i="1"/>
  <c r="BB969" i="1"/>
  <c r="BB965" i="1"/>
  <c r="BB961" i="1"/>
  <c r="BB957" i="1"/>
  <c r="BB953" i="1"/>
  <c r="BB949" i="1"/>
  <c r="BB945" i="1"/>
  <c r="BB941" i="1"/>
  <c r="BB937" i="1"/>
  <c r="BB933" i="1"/>
  <c r="BB929" i="1"/>
  <c r="BB925" i="1"/>
  <c r="BB921" i="1"/>
  <c r="BB917" i="1"/>
  <c r="BB913" i="1"/>
  <c r="BB909" i="1"/>
  <c r="BB905" i="1"/>
  <c r="BB901" i="1"/>
  <c r="BB897" i="1"/>
  <c r="BB893" i="1"/>
  <c r="BB889" i="1"/>
  <c r="BB885" i="1"/>
  <c r="BB881" i="1"/>
  <c r="BB877" i="1"/>
  <c r="BB873" i="1"/>
  <c r="BB869" i="1"/>
  <c r="BB865" i="1"/>
  <c r="BB861" i="1"/>
  <c r="BB857" i="1"/>
  <c r="BB853" i="1"/>
  <c r="BB849" i="1"/>
  <c r="BB845" i="1"/>
  <c r="BB841" i="1"/>
  <c r="BB837" i="1"/>
  <c r="BB833" i="1"/>
  <c r="BB829" i="1"/>
  <c r="BB825" i="1"/>
  <c r="BB821" i="1"/>
  <c r="BB817" i="1"/>
  <c r="BB813" i="1"/>
  <c r="BB809" i="1"/>
  <c r="BB805" i="1"/>
  <c r="BB801" i="1"/>
  <c r="BB797" i="1"/>
  <c r="BB793" i="1"/>
  <c r="BB789" i="1"/>
  <c r="BB785" i="1"/>
  <c r="BB781" i="1"/>
  <c r="BB777" i="1"/>
  <c r="BB773" i="1"/>
  <c r="BB769" i="1"/>
  <c r="BB765" i="1"/>
  <c r="BB761" i="1"/>
  <c r="BB757" i="1"/>
  <c r="BB753" i="1"/>
  <c r="BB749" i="1"/>
  <c r="BB745" i="1"/>
  <c r="BB741" i="1"/>
  <c r="BB737" i="1"/>
  <c r="BB733" i="1"/>
  <c r="BB729" i="1"/>
  <c r="BB725" i="1"/>
  <c r="BB721" i="1"/>
  <c r="BB717" i="1"/>
  <c r="BB713" i="1"/>
  <c r="BB709" i="1"/>
  <c r="BB705" i="1"/>
  <c r="BB701" i="1"/>
  <c r="BB697" i="1"/>
  <c r="BB693" i="1"/>
  <c r="BB689" i="1"/>
  <c r="BB685" i="1"/>
  <c r="BB681" i="1"/>
  <c r="BB677" i="1"/>
  <c r="BB673" i="1"/>
  <c r="BB669" i="1"/>
  <c r="BB665" i="1"/>
  <c r="BB661" i="1"/>
  <c r="BB657" i="1"/>
  <c r="BB653" i="1"/>
  <c r="BB1116" i="1"/>
  <c r="BB1112" i="1"/>
  <c r="BB1108" i="1"/>
  <c r="BB1104" i="1"/>
  <c r="BB1100" i="1"/>
  <c r="BB1096" i="1"/>
  <c r="BB1092" i="1"/>
  <c r="BB1088" i="1"/>
  <c r="BB1084" i="1"/>
  <c r="BB1080" i="1"/>
  <c r="BB1076" i="1"/>
  <c r="BB1072" i="1"/>
  <c r="BB1068" i="1"/>
  <c r="BB1064" i="1"/>
  <c r="BB1060" i="1"/>
  <c r="BB1056" i="1"/>
  <c r="BB1052" i="1"/>
  <c r="BB1048" i="1"/>
  <c r="BB1044" i="1"/>
  <c r="BB1040" i="1"/>
  <c r="BB1036" i="1"/>
  <c r="BB1032" i="1"/>
  <c r="BB1028" i="1"/>
  <c r="BB1024" i="1"/>
  <c r="BB1020" i="1"/>
  <c r="BB1016" i="1"/>
  <c r="BB1012" i="1"/>
  <c r="BB1008" i="1"/>
  <c r="BB1004" i="1"/>
  <c r="BB1000" i="1"/>
  <c r="BB996" i="1"/>
  <c r="BB992" i="1"/>
  <c r="BB988" i="1"/>
  <c r="BB984" i="1"/>
  <c r="BB980" i="1"/>
  <c r="BB976" i="1"/>
  <c r="BB972" i="1"/>
  <c r="BB968" i="1"/>
  <c r="BB964" i="1"/>
  <c r="BB960" i="1"/>
  <c r="BB956" i="1"/>
  <c r="BB952" i="1"/>
  <c r="BB948" i="1"/>
  <c r="BB944" i="1"/>
  <c r="BB940" i="1"/>
  <c r="BB936" i="1"/>
  <c r="BB932" i="1"/>
  <c r="BB928" i="1"/>
  <c r="BB924" i="1"/>
  <c r="BB920" i="1"/>
  <c r="BB916" i="1"/>
  <c r="BB912" i="1"/>
  <c r="BB908" i="1"/>
  <c r="BB904" i="1"/>
  <c r="BB900" i="1"/>
  <c r="BB896" i="1"/>
  <c r="BB892" i="1"/>
  <c r="BB888" i="1"/>
  <c r="BB884" i="1"/>
  <c r="BB880" i="1"/>
  <c r="BB876" i="1"/>
  <c r="BB872" i="1"/>
  <c r="BB868" i="1"/>
  <c r="BB864" i="1"/>
  <c r="BB860" i="1"/>
  <c r="BB856" i="1"/>
  <c r="BB852" i="1"/>
  <c r="BB848" i="1"/>
  <c r="BB844" i="1"/>
  <c r="BB840" i="1"/>
  <c r="BB836" i="1"/>
  <c r="BB832" i="1"/>
  <c r="BB828" i="1"/>
  <c r="BB824" i="1"/>
  <c r="BB820" i="1"/>
  <c r="BB816" i="1"/>
  <c r="BB812" i="1"/>
  <c r="BB808" i="1"/>
  <c r="BB804" i="1"/>
  <c r="BB800" i="1"/>
  <c r="BB796" i="1"/>
  <c r="BB792" i="1"/>
  <c r="BB788" i="1"/>
  <c r="BB784" i="1"/>
  <c r="BB780" i="1"/>
  <c r="BB776" i="1"/>
  <c r="BB772" i="1"/>
  <c r="BB768" i="1"/>
  <c r="BB764" i="1"/>
  <c r="BB760" i="1"/>
  <c r="BB756" i="1"/>
  <c r="BB752" i="1"/>
  <c r="BB748" i="1"/>
  <c r="BB744" i="1"/>
  <c r="BB740" i="1"/>
  <c r="BB736" i="1"/>
  <c r="BB732" i="1"/>
  <c r="BB728" i="1"/>
  <c r="BB724" i="1"/>
  <c r="BB720" i="1"/>
  <c r="BB716" i="1"/>
  <c r="BB712" i="1"/>
  <c r="BB708" i="1"/>
  <c r="BB704" i="1"/>
  <c r="BB700" i="1"/>
  <c r="BB696" i="1"/>
  <c r="BB692" i="1"/>
  <c r="BB688" i="1"/>
  <c r="BB684" i="1"/>
  <c r="BB680" i="1"/>
  <c r="BB676" i="1"/>
  <c r="BB672" i="1"/>
  <c r="BB668" i="1"/>
  <c r="BB664" i="1"/>
  <c r="BB660" i="1"/>
  <c r="BB656" i="1"/>
  <c r="BB652" i="1"/>
  <c r="BC2" i="1"/>
  <c r="BC3" i="1"/>
  <c r="BD2" i="1" l="1"/>
  <c r="BD3" i="1"/>
  <c r="BC4" i="1"/>
  <c r="BD4" i="1"/>
  <c r="BC5" i="1"/>
  <c r="BD5" i="1"/>
  <c r="BC6" i="1"/>
  <c r="BD6" i="1"/>
  <c r="BC7" i="1"/>
  <c r="BD7" i="1"/>
  <c r="BC8" i="1"/>
  <c r="BD8" i="1"/>
  <c r="BC9" i="1"/>
  <c r="BD9" i="1"/>
  <c r="BC10" i="1"/>
  <c r="BD10" i="1"/>
  <c r="BC11" i="1"/>
  <c r="BD11" i="1"/>
  <c r="BC12" i="1"/>
  <c r="BD12" i="1"/>
  <c r="BC13" i="1"/>
  <c r="BD13" i="1"/>
  <c r="BC14" i="1"/>
  <c r="BD14" i="1"/>
  <c r="BC15" i="1"/>
  <c r="BD15" i="1"/>
  <c r="BC16" i="1"/>
  <c r="BD16" i="1"/>
  <c r="BC17" i="1"/>
  <c r="BD17" i="1"/>
  <c r="BC18" i="1"/>
  <c r="BD18" i="1"/>
  <c r="BC19" i="1"/>
  <c r="BD19" i="1"/>
  <c r="BC20" i="1"/>
  <c r="BD20" i="1"/>
  <c r="BC21" i="1"/>
  <c r="BD21" i="1"/>
  <c r="BC22" i="1"/>
  <c r="BD22" i="1"/>
  <c r="BC23" i="1"/>
  <c r="BD23" i="1"/>
  <c r="BC24" i="1"/>
  <c r="BD24" i="1"/>
  <c r="BC25" i="1"/>
  <c r="BD25" i="1"/>
  <c r="BC26" i="1"/>
  <c r="BD26" i="1"/>
  <c r="BC27" i="1"/>
  <c r="BD27" i="1"/>
  <c r="BC28" i="1"/>
  <c r="BD28" i="1"/>
  <c r="BC29" i="1"/>
  <c r="BD29" i="1"/>
  <c r="BC30" i="1"/>
  <c r="BD30" i="1"/>
  <c r="BC31" i="1"/>
  <c r="BD31" i="1"/>
  <c r="BC32" i="1"/>
  <c r="BD32" i="1"/>
  <c r="BC33" i="1"/>
  <c r="BD33" i="1"/>
  <c r="BC34" i="1"/>
  <c r="BD34" i="1"/>
  <c r="BC35" i="1"/>
  <c r="BD35" i="1"/>
  <c r="BC36" i="1"/>
  <c r="BD36" i="1"/>
  <c r="BC37" i="1"/>
  <c r="BD37" i="1"/>
  <c r="BC38" i="1"/>
  <c r="BD38" i="1"/>
  <c r="BC39" i="1"/>
  <c r="BD39" i="1"/>
  <c r="BC40" i="1"/>
  <c r="BD40" i="1"/>
  <c r="BC41" i="1"/>
  <c r="BD41" i="1"/>
  <c r="BC42" i="1"/>
  <c r="BD42" i="1"/>
  <c r="BC43" i="1"/>
  <c r="BD43" i="1"/>
  <c r="BC44" i="1"/>
  <c r="BD44" i="1"/>
  <c r="BC45" i="1"/>
  <c r="BD45" i="1"/>
  <c r="BC46" i="1"/>
  <c r="BD46" i="1"/>
  <c r="BC47" i="1"/>
  <c r="BD47" i="1"/>
  <c r="BC48" i="1"/>
  <c r="BD48" i="1"/>
  <c r="BC49" i="1"/>
  <c r="BD49" i="1"/>
  <c r="BC50" i="1"/>
  <c r="BD50" i="1"/>
  <c r="BC51" i="1"/>
  <c r="BD51" i="1"/>
  <c r="BC52" i="1"/>
  <c r="BD52" i="1"/>
  <c r="BC53" i="1"/>
  <c r="BD53" i="1"/>
  <c r="BC54" i="1"/>
  <c r="BD54" i="1"/>
  <c r="BC55" i="1"/>
  <c r="BD55" i="1"/>
  <c r="BC56" i="1"/>
  <c r="BD56" i="1"/>
  <c r="BC57" i="1"/>
  <c r="BD57" i="1"/>
  <c r="BC58" i="1"/>
  <c r="BD58" i="1"/>
  <c r="BC59" i="1"/>
  <c r="BD59" i="1"/>
  <c r="BC60" i="1"/>
  <c r="BD60" i="1"/>
  <c r="BC61" i="1"/>
  <c r="BD61" i="1"/>
  <c r="BC62" i="1"/>
  <c r="BD62" i="1"/>
  <c r="BC63" i="1"/>
  <c r="BD63" i="1"/>
  <c r="BC64" i="1"/>
  <c r="BD64" i="1"/>
  <c r="BC65" i="1"/>
  <c r="BD65" i="1"/>
  <c r="BC66" i="1"/>
  <c r="BD66" i="1"/>
  <c r="BC67" i="1"/>
  <c r="BD67" i="1"/>
  <c r="BC68" i="1"/>
  <c r="BD68" i="1"/>
  <c r="BC69" i="1"/>
  <c r="BD69" i="1"/>
  <c r="BC70" i="1"/>
  <c r="BD70" i="1"/>
  <c r="BC71" i="1"/>
  <c r="BD71" i="1"/>
  <c r="BC72" i="1"/>
  <c r="BD72" i="1"/>
  <c r="BC73" i="1"/>
  <c r="BD73" i="1"/>
  <c r="BC74" i="1"/>
  <c r="BD74" i="1"/>
  <c r="BC75" i="1"/>
  <c r="BD75" i="1"/>
  <c r="BC76" i="1"/>
  <c r="BD76" i="1"/>
  <c r="BC77" i="1"/>
  <c r="BD77" i="1"/>
  <c r="BC78" i="1"/>
  <c r="BD78" i="1"/>
  <c r="BC79" i="1"/>
  <c r="BD79" i="1"/>
  <c r="BC80" i="1"/>
  <c r="BD80" i="1"/>
  <c r="BC81" i="1"/>
  <c r="BD81" i="1"/>
  <c r="BC82" i="1"/>
  <c r="BD82" i="1"/>
  <c r="BC83" i="1"/>
  <c r="BD83" i="1"/>
  <c r="BC84" i="1"/>
  <c r="BD84" i="1"/>
  <c r="BC85" i="1"/>
  <c r="BD85" i="1"/>
  <c r="BC86" i="1"/>
  <c r="BD86" i="1"/>
  <c r="BC87" i="1"/>
  <c r="BD87" i="1"/>
  <c r="BC88" i="1"/>
  <c r="BD88" i="1"/>
  <c r="BC89" i="1"/>
  <c r="BD89" i="1"/>
  <c r="BC90" i="1"/>
  <c r="BD90" i="1"/>
  <c r="BC91" i="1"/>
  <c r="BD91" i="1"/>
  <c r="BC92" i="1"/>
  <c r="BD92" i="1"/>
  <c r="BC93" i="1"/>
  <c r="BD93" i="1"/>
  <c r="BC94" i="1"/>
  <c r="BD94" i="1"/>
  <c r="BC95" i="1"/>
  <c r="BD95" i="1"/>
  <c r="BC96" i="1"/>
  <c r="BD96" i="1"/>
  <c r="BC97" i="1"/>
  <c r="BD97" i="1"/>
  <c r="BC98" i="1"/>
  <c r="BD98" i="1"/>
  <c r="BC99" i="1"/>
  <c r="BD99" i="1"/>
  <c r="BC100" i="1"/>
  <c r="BD100" i="1"/>
  <c r="BC101" i="1"/>
  <c r="BD101" i="1"/>
  <c r="BC102" i="1"/>
  <c r="BD102" i="1"/>
  <c r="BC103" i="1"/>
  <c r="BD103" i="1"/>
  <c r="BC104" i="1"/>
  <c r="BD104" i="1"/>
  <c r="BC105" i="1"/>
  <c r="BD105" i="1"/>
  <c r="BC106" i="1"/>
  <c r="BD106" i="1"/>
  <c r="BC107" i="1"/>
  <c r="BD107" i="1"/>
  <c r="BC108" i="1"/>
  <c r="BD108" i="1"/>
  <c r="BC109" i="1"/>
  <c r="BD109" i="1"/>
  <c r="BC110" i="1"/>
  <c r="BD110" i="1"/>
  <c r="BB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3-09-2014_BELGACOMESP2FR_EurosportSchedule" type="4" refreshedVersion="0" background="1">
    <webPr xml="1" sourceData="1" url="D:\Back up\Sarath\French\Tv Replay\2017\April 2017\April 21\AM\21-04-2017_BELGACOMESPFR_EurosportSchedule.xml" htmlTables="1" htmlFormat="all"/>
  </connection>
</connections>
</file>

<file path=xl/sharedStrings.xml><?xml version="1.0" encoding="utf-8"?>
<sst xmlns="http://schemas.openxmlformats.org/spreadsheetml/2006/main" count="1186" uniqueCount="75">
  <si>
    <t>CalendarDT</t>
  </si>
  <si>
    <t>StartTime</t>
  </si>
  <si>
    <t>ProgramTitle</t>
  </si>
  <si>
    <t>SeriesEpisodeTitle</t>
  </si>
  <si>
    <t>Time</t>
  </si>
  <si>
    <t>Title</t>
  </si>
  <si>
    <t>-</t>
  </si>
  <si>
    <t>None</t>
  </si>
  <si>
    <t>4:3 Fullscreen</t>
  </si>
  <si>
    <t>Closedown French Channels</t>
  </si>
  <si>
    <t>Series Master</t>
  </si>
  <si>
    <t>Color</t>
  </si>
  <si>
    <t>Other</t>
  </si>
  <si>
    <t>French</t>
  </si>
  <si>
    <t>mjayaram</t>
  </si>
  <si>
    <t>ESF</t>
  </si>
  <si>
    <t>Series Episode</t>
  </si>
  <si>
    <t>Sports</t>
  </si>
  <si>
    <t>ISIS</t>
  </si>
  <si>
    <t>ESF - EF2</t>
  </si>
  <si>
    <t>A/I/E</t>
  </si>
  <si>
    <t>Status</t>
  </si>
  <si>
    <t>QA Notes</t>
  </si>
  <si>
    <t>Air Date</t>
  </si>
  <si>
    <t>TVG Title</t>
  </si>
  <si>
    <t>Duration</t>
  </si>
  <si>
    <t>Link Information</t>
  </si>
  <si>
    <t>Link Duration</t>
  </si>
  <si>
    <t>Episode Title</t>
  </si>
  <si>
    <t>Subtitle</t>
  </si>
  <si>
    <t>TV Rating</t>
  </si>
  <si>
    <t>Captioning</t>
  </si>
  <si>
    <t>Audio Level</t>
  </si>
  <si>
    <t>HDTV Level</t>
  </si>
  <si>
    <t>DVS</t>
  </si>
  <si>
    <t>SAP</t>
  </si>
  <si>
    <t>Aspect Ratio</t>
  </si>
  <si>
    <t>Subtitled</t>
  </si>
  <si>
    <t>Program Information</t>
  </si>
  <si>
    <t>Feed</t>
  </si>
  <si>
    <t>SPG</t>
  </si>
  <si>
    <t>Event Date</t>
  </si>
  <si>
    <t>Airing Type</t>
  </si>
  <si>
    <t>Showing Type</t>
  </si>
  <si>
    <t>Paid For By</t>
  </si>
  <si>
    <t>Program Type</t>
  </si>
  <si>
    <t>Program Part</t>
  </si>
  <si>
    <t>Part No./Total</t>
  </si>
  <si>
    <t>Film Rating</t>
  </si>
  <si>
    <t>Year</t>
  </si>
  <si>
    <t>Credits</t>
  </si>
  <si>
    <t>Color Type</t>
  </si>
  <si>
    <t>Category</t>
  </si>
  <si>
    <t>3D</t>
  </si>
  <si>
    <t>PID</t>
  </si>
  <si>
    <t>Schedule ID</t>
  </si>
  <si>
    <t>Language</t>
  </si>
  <si>
    <t>DST</t>
  </si>
  <si>
    <t>Creation User</t>
  </si>
  <si>
    <t>Creation Date</t>
  </si>
  <si>
    <t>Last Update User</t>
  </si>
  <si>
    <t>Last Update Date</t>
  </si>
  <si>
    <t>Column1</t>
  </si>
  <si>
    <t>CC</t>
  </si>
  <si>
    <t>EP.NO</t>
  </si>
  <si>
    <t>EpTitle</t>
  </si>
  <si>
    <t>Raw Time</t>
  </si>
  <si>
    <t>Cosmo Time</t>
  </si>
  <si>
    <t>Add Time</t>
  </si>
  <si>
    <t>Live</t>
  </si>
  <si>
    <t>ESF-EF2</t>
  </si>
  <si>
    <t>asprimont</t>
  </si>
  <si>
    <t>XListImporter (1426490)</t>
  </si>
  <si>
    <t>ESF-EF2 EFB-EFA</t>
  </si>
  <si>
    <t xml:space="preserve"> 3ème étape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</si>
</sst>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horizontal="center"/>
      <protection locked="0"/>
    </xf>
    <xf numFmtId="21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2" borderId="0" xfId="0" applyFill="1" applyAlignment="1" applyProtection="1">
      <protection locked="0"/>
    </xf>
    <xf numFmtId="0" fontId="0" fillId="4" borderId="0" xfId="0" applyFill="1" applyAlignment="1" applyProtection="1">
      <alignment horizontal="center"/>
      <protection locked="0"/>
    </xf>
    <xf numFmtId="0" fontId="0" fillId="4" borderId="0" xfId="0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Fill="1" applyAlignment="1" applyProtection="1">
      <protection locked="0"/>
    </xf>
    <xf numFmtId="0" fontId="0" fillId="3" borderId="1" xfId="0" applyFill="1" applyBorder="1" applyAlignment="1" applyProtection="1">
      <alignment horizontal="center"/>
    </xf>
    <xf numFmtId="0" fontId="2" fillId="0" borderId="0" xfId="0" applyFont="1" applyAlignment="1" applyProtection="1">
      <alignment horizontal="center"/>
      <protection locked="0"/>
    </xf>
    <xf numFmtId="18" fontId="0" fillId="3" borderId="0" xfId="0" applyNumberFormat="1" applyFill="1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22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</xf>
    <xf numFmtId="0" fontId="0" fillId="5" borderId="0" xfId="0" applyFill="1" applyAlignment="1" applyProtection="1">
      <alignment horizontal="center"/>
      <protection locked="0"/>
    </xf>
    <xf numFmtId="0" fontId="3" fillId="6" borderId="1" xfId="0" applyFont="1" applyFill="1" applyBorder="1" applyAlignment="1" applyProtection="1">
      <alignment horizontal="center"/>
      <protection locked="0"/>
    </xf>
    <xf numFmtId="0" fontId="2" fillId="6" borderId="1" xfId="0" applyFont="1" applyFill="1" applyBorder="1" applyAlignment="1" applyProtection="1">
      <alignment horizontal="center"/>
      <protection locked="0"/>
    </xf>
    <xf numFmtId="20" fontId="0" fillId="2" borderId="0" xfId="0" applyNumberFormat="1" applyFill="1" applyAlignment="1" applyProtection="1">
      <alignment horizontal="center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/>
    <xf numFmtId="14" fontId="0" fillId="0" borderId="0" xfId="0" applyNumberFormat="1" applyAlignment="1"/>
    <xf numFmtId="20" fontId="0" fillId="0" borderId="0" xfId="0" applyNumberFormat="1" applyAlignment="1"/>
    <xf numFmtId="22" fontId="0" fillId="0" borderId="0" xfId="0" applyNumberFormat="1" applyAlignment="1"/>
    <xf numFmtId="19" fontId="0" fillId="0" borderId="0" xfId="0" applyNumberFormat="1" applyAlignment="1" applyProtection="1">
      <alignment horizontal="center"/>
      <protection locked="0"/>
    </xf>
    <xf numFmtId="21" fontId="0" fillId="0" borderId="0" xfId="0" applyNumberFormat="1" applyFill="1" applyAlignment="1" applyProtection="1">
      <alignment horizontal="center"/>
      <protection locked="0"/>
    </xf>
    <xf numFmtId="14" fontId="1" fillId="0" borderId="0" xfId="0" applyNumberFormat="1" applyFont="1" applyAlignment="1"/>
    <xf numFmtId="20" fontId="1" fillId="0" borderId="0" xfId="0" applyNumberFormat="1" applyFont="1" applyAlignment="1"/>
    <xf numFmtId="0" fontId="1" fillId="0" borderId="0" xfId="0" applyFont="1" applyAlignment="1"/>
    <xf numFmtId="22" fontId="1" fillId="0" borderId="0" xfId="0" applyNumberFormat="1" applyFont="1" applyAlignment="1"/>
    <xf numFmtId="14" fontId="0" fillId="0" borderId="0" xfId="0" applyNumberFormat="1" applyAlignment="1" applyProtection="1">
      <alignment horizontal="center"/>
      <protection locked="0"/>
    </xf>
    <xf numFmtId="22" fontId="0" fillId="0" borderId="0" xfId="0" applyNumberFormat="1" applyAlignment="1" applyProtection="1">
      <protection locked="0"/>
    </xf>
    <xf numFmtId="0" fontId="0" fillId="0" borderId="0" xfId="0" applyAlignment="1" applyProtection="1">
      <alignment horizontal="center"/>
    </xf>
    <xf numFmtId="0" fontId="0" fillId="2" borderId="0" xfId="0" applyFill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7" borderId="1" xfId="0" applyFont="1" applyFill="1" applyBorder="1" applyAlignment="1" applyProtection="1">
      <alignment horizontal="center"/>
      <protection locked="0"/>
    </xf>
    <xf numFmtId="22" fontId="4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theme="6"/>
          <bgColor theme="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numFmt numFmtId="25" formatCode="h:mm"/>
      <alignment horizontal="center" vertical="bottom" textRotation="0" wrapText="0" indent="0" justifyLastLine="0" shrinkToFit="0" readingOrder="0"/>
      <protection locked="1" hidden="0"/>
    </dxf>
    <dxf>
      <numFmt numFmtId="26" formatCode="h:mm:ss"/>
      <alignment horizontal="center" vertical="bottom" textRotation="0" wrapText="0" indent="0" justifyLastLine="0" shrinkToFit="0" readingOrder="0"/>
      <protection locked="0" hidden="0"/>
    </dxf>
    <dxf>
      <numFmt numFmtId="27" formatCode="m/d/yyyy\ h:mm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F94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eurosport.com'">
  <Schema ID="Schema1">
    <xsd:schema xmlns:xsd="http://www.w3.org/2001/XMLSchema" xmlns="">
      <xsd:element nillable="true" name="Programs">
        <xsd:complexType>
          <xsd:sequence minOccurs="0">
            <xsd:element minOccurs="0" maxOccurs="unbounded" nillable="true" name="Program" form="unqualified">
              <xsd:complexType>
                <xsd:sequence minOccurs="0">
                  <xsd:element minOccurs="0" nillable="true" name="PgmDescriptions" form="unqualified">
                    <xsd:complexType>
                      <xsd:sequence minOccurs="0">
                        <xsd:element minOccurs="0" nillable="true" name="PgmDescription" form="unqualified">
                          <xsd:complexType>
                            <xsd:sequence minOccurs="0">
                              <xsd:element minOccurs="0" nillable="true" type="xsd:string" name="Type" form="unqualified"/>
                              <xsd:element minOccurs="0" nillable="true" type="xsd:string" name="Description" form="un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name="Schedules" form="unqualified">
                    <xsd:complexType>
                      <xsd:sequence minOccurs="0">
                        <xsd:element minOccurs="0" nillable="true" name="Schedule" form="unqualified">
                          <xsd:complexType>
                            <xsd:attribute name="CalendarDT" form="unqualified" type="xsd:dateTime"/>
                            <xsd:attribute name="TimeZone" form="unqualified" type="xsd:string"/>
                            <xsd:attribute name="AffiliateStation" form="unqualified" type="xsd:string"/>
                            <xsd:attribute name="StartTime" form="unqualified" type="xsd:time"/>
                            <xsd:attribute name="EndTime" form="unqualified" type="xsd:time"/>
                            <xsd:attribute name="Duration" form="unqualified" type="xsd:integer"/>
                            <xsd:attribute name="HDTVLevel" form="unqualified" type="xsd:string"/>
                            <xsd:attribute name="AiringType" form="unqualified" type="xsd:string"/>
                          </xsd:complexType>
                        </xsd:element>
                      </xsd:sequence>
                    </xsd:complexType>
                  </xsd:element>
                  <xsd:element minOccurs="0" nillable="true" name="SubjectToBlackout" form="unqualified">
                    <xsd:complexType>
                      <xsd:sequence minOccurs="0">
                        <xsd:element minOccurs="0" nillable="true" type="xsd:integer" name="BlackoutIPTV" form="unqualified"/>
                        <xsd:element minOccurs="0" nillable="true" type="xsd:integer" name="BlackoutOTT" form="unqualified"/>
                        <xsd:element minOccurs="0" nillable="true" name="BlacklistIPTV" form="unqualified">
                          <xsd:complexType>
                            <xsd:simpleContent>
                              <xsd:extension base="xsd:integer">
                                <xsd:attribute name="afterInterval" form="unqualified" type="xsd:integer"/>
                              </xsd:extension>
                            </xsd:simpleContent>
                          </xsd:complexType>
                        </xsd:element>
                        <xsd:element minOccurs="0" nillable="true" name="BlacklistOTT" form="unqualified">
                          <xsd:complexType>
                            <xsd:simpleContent>
                              <xsd:extension base="xsd:integer">
                                <xsd:attribute name="afterInterval" form="unqualified" type="xsd:integer"/>
                              </xsd:extension>
                            </xsd:simpleContent>
                          </xsd:complexType>
                        </xsd:element>
                      </xsd:sequence>
                    </xsd:complexType>
                  </xsd:element>
                </xsd:sequence>
                <xsd:attribute name="StationProgramID" form="unqualified" type="xsd:integer"/>
                <xsd:attribute name="Category" form="unqualified" type="xsd:string"/>
                <xsd:attribute name="ProgramTitle" form="unqualified" type="xsd:string"/>
                <xsd:attribute name="Runtime" form="unqualified" type="xsd:integer"/>
                <xsd:attribute name="SeriesEpisodeTitle" form="unqualified" type="xsd:string"/>
                <xsd:attribute name="PrimaryLanguage" form="unqualified" type="xsd:string"/>
              </xsd:complexType>
            </xsd:element>
          </xsd:sequence>
          <xsd:attribute name="Station" form="unqualified" type="xsd:string"/>
        </xsd:complexType>
      </xsd:element>
    </xsd:schema>
  </Schema>
  <Schema ID="Schema2" SchemaRef="Schema1" Namespace="http://eurosport.com">
    <xsd:schema xmlns:xsd="http://www.w3.org/2001/XMLSchema" xmlns:ns0="http://eurosport.com" xmlns="" targetNamespace="http://eurosport.com">
      <xsd:import/>
      <xsd:element nillable="true" name="Rovi_Listings">
        <xsd:complexType>
          <xsd:sequence minOccurs="0">
            <xsd:element minOccurs="0" ref="Programs"/>
          </xsd:sequence>
        </xsd:complexType>
      </xsd:element>
    </xsd:schema>
  </Schema>
  <Map ID="1" Name="Rovi_Listings_Map" RootElement="Rovi_Listings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14" tableType="xml" totalsRowShown="0" headerRowDxfId="29" dataDxfId="28" connectionId="1">
  <tableColumns count="5">
    <tableColumn id="1" xr3:uid="{00000000-0010-0000-0000-000001000000}" uniqueName="CalendarDT" name="CalendarDT" dataDxfId="27">
      <xmlColumnPr mapId="1" xpath="/ns1:Rovi_Listings/Programs/Program/Schedules/Schedule/@CalendarDT" xmlDataType="dateTime"/>
    </tableColumn>
    <tableColumn id="2" xr3:uid="{00000000-0010-0000-0000-000002000000}" uniqueName="StartTime" name="StartTime" dataDxfId="26">
      <xmlColumnPr mapId="1" xpath="/ns1:Rovi_Listings/Programs/Program/Schedules/Schedule/@StartTime" xmlDataType="time"/>
    </tableColumn>
    <tableColumn id="5" xr3:uid="{00000000-0010-0000-0000-000005000000}" uniqueName="5" name="Time" dataDxfId="25">
      <calculatedColumnFormula>BH2</calculatedColumnFormula>
    </tableColumn>
    <tableColumn id="3" xr3:uid="{00000000-0010-0000-0000-000003000000}" uniqueName="ProgramTitle" name="ProgramTitle" dataDxfId="24">
      <xmlColumnPr mapId="1" xpath="/ns1:Rovi_Listings/Programs/Program/@ProgramTitle" xmlDataType="string"/>
    </tableColumn>
    <tableColumn id="4" xr3:uid="{00000000-0010-0000-0000-000004000000}" uniqueName="SeriesEpisodeTitle" name="SeriesEpisodeTitle" dataDxfId="23">
      <xmlColumnPr mapId="1" xpath="/ns1:Rovi_Listings/Programs/Program/@SeriesEpisodeTitle" xmlDataType="string"/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B1:BF1691" totalsRowShown="0" headerRowDxfId="22" dataDxfId="21" tableBorderDxfId="20">
  <tableColumns count="5">
    <tableColumn id="1" xr3:uid="{00000000-0010-0000-0100-000001000000}" name="Time" dataDxfId="19"/>
    <tableColumn id="2" xr3:uid="{00000000-0010-0000-0100-000002000000}" name="Title" dataDxfId="18"/>
    <tableColumn id="3" xr3:uid="{00000000-0010-0000-0100-000003000000}" name="EpTitle" dataDxfId="17"/>
    <tableColumn id="4" xr3:uid="{00000000-0010-0000-0100-000004000000}" name="Raw Time" dataDxfId="16"/>
    <tableColumn id="5" xr3:uid="{00000000-0010-0000-0100-000005000000}" name="Cosmo Time" dataDxfId="15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G1:S1691" totalsRowShown="0" headerRowDxfId="14" dataDxfId="13">
  <tableColumns count="13">
    <tableColumn id="1" xr3:uid="{00000000-0010-0000-0200-000001000000}" name="CC" dataDxfId="12"/>
    <tableColumn id="2" xr3:uid="{00000000-0010-0000-0200-000002000000}" name="A/I/E" dataDxfId="11"/>
    <tableColumn id="3" xr3:uid="{00000000-0010-0000-0200-000003000000}" name="Status" dataDxfId="10"/>
    <tableColumn id="4" xr3:uid="{00000000-0010-0000-0200-000004000000}" name="QA Notes" dataDxfId="9"/>
    <tableColumn id="5" xr3:uid="{00000000-0010-0000-0200-000005000000}" name="Air Date" dataDxfId="8"/>
    <tableColumn id="6" xr3:uid="{00000000-0010-0000-0200-000006000000}" name="Time" dataDxfId="7"/>
    <tableColumn id="7" xr3:uid="{00000000-0010-0000-0200-000007000000}" name="Column1" dataDxfId="6"/>
    <tableColumn id="8" xr3:uid="{00000000-0010-0000-0200-000008000000}" name="TVG Title" dataDxfId="5"/>
    <tableColumn id="9" xr3:uid="{00000000-0010-0000-0200-000009000000}" name="Duration" dataDxfId="4"/>
    <tableColumn id="10" xr3:uid="{00000000-0010-0000-0200-00000A000000}" name="Link Information" dataDxfId="3"/>
    <tableColumn id="11" xr3:uid="{00000000-0010-0000-0200-00000B000000}" name="Link Duration" dataDxfId="2"/>
    <tableColumn id="12" xr3:uid="{00000000-0010-0000-0200-00000C000000}" name="EP.NO" dataDxfId="1"/>
    <tableColumn id="13" xr3:uid="{00000000-0010-0000-0200-00000D000000}" name="Episode Titl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687"/>
  <sheetViews>
    <sheetView tabSelected="1" zoomScale="80" zoomScaleNormal="80"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24.140625" style="1" bestFit="1" customWidth="1"/>
    <col min="2" max="2" width="12.28515625" style="1" customWidth="1"/>
    <col min="3" max="3" width="5.7109375" style="17" customWidth="1"/>
    <col min="4" max="4" width="63.7109375" style="1" customWidth="1"/>
    <col min="5" max="5" width="69.140625" style="1" customWidth="1"/>
    <col min="6" max="6" width="0.85546875" style="18" customWidth="1"/>
    <col min="7" max="7" width="2.7109375" style="37" customWidth="1"/>
    <col min="8" max="8" width="5.28515625" style="37" hidden="1" customWidth="1"/>
    <col min="9" max="9" width="7.42578125" style="37" hidden="1" customWidth="1"/>
    <col min="10" max="10" width="10.28515625" style="37" hidden="1" customWidth="1"/>
    <col min="11" max="11" width="10" style="37" customWidth="1"/>
    <col min="12" max="12" width="10.42578125" style="37" customWidth="1"/>
    <col min="13" max="13" width="10" style="37" hidden="1" customWidth="1"/>
    <col min="14" max="14" width="10.7109375" style="37" customWidth="1"/>
    <col min="15" max="15" width="9.42578125" style="37" hidden="1" customWidth="1"/>
    <col min="16" max="16" width="11.42578125" style="37" hidden="1" customWidth="1"/>
    <col min="17" max="17" width="9.42578125" style="37" hidden="1" customWidth="1"/>
    <col min="18" max="18" width="4.140625" style="37" bestFit="1" customWidth="1"/>
    <col min="19" max="19" width="46.140625" style="37" customWidth="1"/>
    <col min="20" max="20" width="8.7109375" style="1" hidden="1" customWidth="1"/>
    <col min="21" max="21" width="10.5703125" style="1" hidden="1" customWidth="1"/>
    <col min="22" max="22" width="11.7109375" style="1" hidden="1" customWidth="1"/>
    <col min="23" max="23" width="12.85546875" style="1" hidden="1" customWidth="1"/>
    <col min="24" max="24" width="12.28515625" style="1" hidden="1" customWidth="1"/>
    <col min="25" max="26" width="6.5703125" style="1" hidden="1" customWidth="1"/>
    <col min="27" max="27" width="14.85546875" style="1" hidden="1" customWidth="1"/>
    <col min="28" max="28" width="10" style="1" hidden="1" customWidth="1"/>
    <col min="29" max="29" width="29.28515625" style="1" hidden="1" customWidth="1"/>
    <col min="30" max="30" width="6" style="1" hidden="1" customWidth="1"/>
    <col min="31" max="31" width="6.5703125" style="1" hidden="1" customWidth="1"/>
    <col min="32" max="32" width="11.42578125" style="1" hidden="1" customWidth="1"/>
    <col min="33" max="33" width="12.42578125" style="1" hidden="1" customWidth="1"/>
    <col min="34" max="34" width="15.28515625" style="1" hidden="1" customWidth="1"/>
    <col min="35" max="35" width="12" style="1" hidden="1" customWidth="1"/>
    <col min="36" max="36" width="15.85546875" style="1" hidden="1" customWidth="1"/>
    <col min="37" max="37" width="14.42578125" style="1" hidden="1" customWidth="1"/>
    <col min="38" max="38" width="14.28515625" style="1" hidden="1" customWidth="1"/>
    <col min="39" max="39" width="12" style="1" hidden="1" customWidth="1"/>
    <col min="40" max="40" width="5.7109375" style="1" hidden="1" customWidth="1"/>
    <col min="41" max="41" width="8.5703125" style="1" hidden="1" customWidth="1"/>
    <col min="42" max="42" width="12" style="1" hidden="1" customWidth="1"/>
    <col min="43" max="43" width="10.140625" style="1" hidden="1" customWidth="1"/>
    <col min="44" max="44" width="3.5703125" style="1" hidden="1" customWidth="1"/>
    <col min="45" max="45" width="9.85546875" style="1" hidden="1" customWidth="1"/>
    <col min="46" max="46" width="12.7109375" style="1" hidden="1" customWidth="1"/>
    <col min="47" max="47" width="10.85546875" style="1" hidden="1" customWidth="1"/>
    <col min="48" max="48" width="6" style="1" hidden="1" customWidth="1"/>
    <col min="49" max="49" width="24.140625" style="1" hidden="1" customWidth="1"/>
    <col min="50" max="50" width="15" style="1" hidden="1" customWidth="1"/>
    <col min="51" max="51" width="24.140625" style="1" hidden="1" customWidth="1"/>
    <col min="52" max="52" width="17.85546875" style="1" hidden="1" customWidth="1"/>
    <col min="53" max="53" width="42.85546875" style="1" hidden="1" customWidth="1"/>
    <col min="54" max="54" width="8.85546875" style="15" bestFit="1" customWidth="1"/>
    <col min="55" max="55" width="9.140625" style="15"/>
    <col min="56" max="56" width="10" style="15" customWidth="1"/>
    <col min="57" max="57" width="12.7109375" style="7" hidden="1" customWidth="1"/>
    <col min="58" max="58" width="15" style="7" hidden="1" customWidth="1"/>
    <col min="59" max="59" width="9.140625" style="3"/>
    <col min="60" max="60" width="6" style="21" bestFit="1" customWidth="1"/>
    <col min="61" max="16384" width="9.140625" style="3"/>
  </cols>
  <sheetData>
    <row r="1" spans="1:60" s="1" customFormat="1" x14ac:dyDescent="0.25">
      <c r="A1" s="1" t="s">
        <v>0</v>
      </c>
      <c r="B1" s="1" t="s">
        <v>1</v>
      </c>
      <c r="C1" s="17" t="s">
        <v>4</v>
      </c>
      <c r="D1" s="1" t="s">
        <v>2</v>
      </c>
      <c r="E1" s="1" t="s">
        <v>3</v>
      </c>
      <c r="F1" s="18" t="s">
        <v>6</v>
      </c>
      <c r="G1" s="19" t="s">
        <v>63</v>
      </c>
      <c r="H1" s="20" t="s">
        <v>20</v>
      </c>
      <c r="I1" s="20" t="s">
        <v>21</v>
      </c>
      <c r="J1" s="20" t="s">
        <v>22</v>
      </c>
      <c r="K1" s="20" t="s">
        <v>23</v>
      </c>
      <c r="L1" s="20" t="s">
        <v>4</v>
      </c>
      <c r="M1" s="20" t="s">
        <v>62</v>
      </c>
      <c r="N1" s="20" t="s">
        <v>24</v>
      </c>
      <c r="O1" s="20" t="s">
        <v>25</v>
      </c>
      <c r="P1" s="20" t="s">
        <v>26</v>
      </c>
      <c r="Q1" s="20" t="s">
        <v>27</v>
      </c>
      <c r="R1" s="20" t="s">
        <v>64</v>
      </c>
      <c r="S1" s="20" t="s">
        <v>28</v>
      </c>
      <c r="T1" s="10" t="s">
        <v>29</v>
      </c>
      <c r="U1" s="10" t="s">
        <v>30</v>
      </c>
      <c r="V1" s="10" t="s">
        <v>31</v>
      </c>
      <c r="W1" s="10" t="s">
        <v>32</v>
      </c>
      <c r="X1" s="10" t="s">
        <v>33</v>
      </c>
      <c r="Y1" s="10" t="s">
        <v>34</v>
      </c>
      <c r="Z1" s="10" t="s">
        <v>35</v>
      </c>
      <c r="AA1" s="10" t="s">
        <v>36</v>
      </c>
      <c r="AB1" s="10" t="s">
        <v>37</v>
      </c>
      <c r="AC1" s="10" t="s">
        <v>38</v>
      </c>
      <c r="AD1" s="10" t="s">
        <v>39</v>
      </c>
      <c r="AE1" s="10" t="s">
        <v>40</v>
      </c>
      <c r="AF1" s="10" t="s">
        <v>41</v>
      </c>
      <c r="AG1" s="10" t="s">
        <v>42</v>
      </c>
      <c r="AH1" s="10" t="s">
        <v>43</v>
      </c>
      <c r="AI1" s="10" t="s">
        <v>44</v>
      </c>
      <c r="AJ1" s="10" t="s">
        <v>45</v>
      </c>
      <c r="AK1" s="10" t="s">
        <v>46</v>
      </c>
      <c r="AL1" s="10" t="s">
        <v>47</v>
      </c>
      <c r="AM1" s="10" t="s">
        <v>48</v>
      </c>
      <c r="AN1" s="10" t="s">
        <v>49</v>
      </c>
      <c r="AO1" s="10" t="s">
        <v>50</v>
      </c>
      <c r="AP1" s="10" t="s">
        <v>51</v>
      </c>
      <c r="AQ1" s="10" t="s">
        <v>52</v>
      </c>
      <c r="AR1" s="10" t="s">
        <v>53</v>
      </c>
      <c r="AS1" s="10" t="s">
        <v>54</v>
      </c>
      <c r="AT1" s="10" t="s">
        <v>55</v>
      </c>
      <c r="AU1" s="10" t="s">
        <v>56</v>
      </c>
      <c r="AV1" s="10" t="s">
        <v>57</v>
      </c>
      <c r="AW1" s="10" t="s">
        <v>58</v>
      </c>
      <c r="AX1" s="10" t="s">
        <v>59</v>
      </c>
      <c r="AY1" s="10" t="s">
        <v>60</v>
      </c>
      <c r="AZ1" s="10" t="s">
        <v>61</v>
      </c>
      <c r="BB1" s="14" t="s">
        <v>4</v>
      </c>
      <c r="BC1" s="14" t="s">
        <v>5</v>
      </c>
      <c r="BD1" s="14" t="s">
        <v>65</v>
      </c>
      <c r="BE1" s="6" t="s">
        <v>66</v>
      </c>
      <c r="BF1" s="6" t="s">
        <v>67</v>
      </c>
      <c r="BG1" s="5" t="s">
        <v>68</v>
      </c>
      <c r="BH1" s="21" t="s">
        <v>4</v>
      </c>
    </row>
    <row r="2" spans="1:60" x14ac:dyDescent="0.25">
      <c r="A2" s="16"/>
      <c r="B2" s="22"/>
      <c r="C2" s="17">
        <f t="shared" ref="C2:C65" si="0">BH2</f>
        <v>4.1666666666666664E-2</v>
      </c>
      <c r="D2" s="16"/>
      <c r="E2" s="16"/>
      <c r="F2" s="16"/>
      <c r="G2" s="23"/>
      <c r="H2" s="23"/>
      <c r="I2" s="23"/>
      <c r="J2" s="24"/>
      <c r="K2" s="24"/>
      <c r="L2" s="25"/>
      <c r="M2" s="25"/>
      <c r="N2" s="23"/>
      <c r="O2" s="23"/>
      <c r="P2" s="23"/>
      <c r="Q2" s="23"/>
      <c r="R2" s="23"/>
      <c r="S2" s="23"/>
      <c r="T2" s="23"/>
      <c r="U2" s="23" t="s">
        <v>7</v>
      </c>
      <c r="V2" s="23" t="s">
        <v>7</v>
      </c>
      <c r="W2" s="23" t="s">
        <v>7</v>
      </c>
      <c r="X2" s="23" t="s">
        <v>7</v>
      </c>
      <c r="Y2" s="23" t="b">
        <v>0</v>
      </c>
      <c r="Z2" s="23" t="b">
        <v>0</v>
      </c>
      <c r="AA2" s="26" t="s">
        <v>8</v>
      </c>
      <c r="AB2" s="23" t="b">
        <v>0</v>
      </c>
      <c r="AC2" s="26" t="s">
        <v>15</v>
      </c>
      <c r="AD2" s="23">
        <v>0</v>
      </c>
      <c r="AE2" s="23" t="b">
        <v>0</v>
      </c>
      <c r="AF2" s="23"/>
      <c r="AG2" s="26"/>
      <c r="AH2" s="23"/>
      <c r="AI2" s="26"/>
      <c r="AJ2" s="23" t="s">
        <v>16</v>
      </c>
      <c r="AK2" s="23"/>
      <c r="AL2" s="26"/>
      <c r="AM2" s="23"/>
      <c r="AN2" s="26"/>
      <c r="AO2" s="23"/>
      <c r="AP2" s="23" t="s">
        <v>11</v>
      </c>
      <c r="AQ2" s="23" t="s">
        <v>17</v>
      </c>
      <c r="AR2" s="26"/>
      <c r="AS2" s="23">
        <v>19874297</v>
      </c>
      <c r="AT2" s="26">
        <v>279643702</v>
      </c>
      <c r="AU2" s="23" t="s">
        <v>13</v>
      </c>
      <c r="AV2" s="23" t="b">
        <v>1</v>
      </c>
      <c r="AW2" s="26" t="s">
        <v>14</v>
      </c>
      <c r="AX2" s="26">
        <v>42216.123611111114</v>
      </c>
      <c r="AY2" s="26" t="s">
        <v>14</v>
      </c>
      <c r="AZ2" s="26">
        <v>42220.113888888889</v>
      </c>
      <c r="BB2" s="9" t="str">
        <f t="shared" ref="BB2:BB29" si="1">IF(BE2=BF2,"Yes","No")</f>
        <v>No</v>
      </c>
      <c r="BC2" s="9" t="str">
        <f>IF(EFB!$N2=Table1[[#This Row],[ProgramTitle]],"Yes","No")</f>
        <v>Yes</v>
      </c>
      <c r="BD2" s="9" t="str">
        <f>IF(EFB!$S2=Table1[[#This Row],[SeriesEpisodeTitle]],"Yes","No")</f>
        <v>Yes</v>
      </c>
      <c r="BE2" s="11">
        <f>TIME(HOUR(C2),MINUTE(C2),SECOND(0))</f>
        <v>4.1666666666666664E-2</v>
      </c>
      <c r="BF2" s="11">
        <f>TIME(HOUR(L2),MINUTE(L2),SECOND(0))</f>
        <v>0</v>
      </c>
      <c r="BG2" s="2">
        <v>4.1666666666666664E-2</v>
      </c>
      <c r="BH2" s="21">
        <f>Table1[[#This Row],[StartTime]]+$BG$2</f>
        <v>4.1666666666666664E-2</v>
      </c>
    </row>
    <row r="3" spans="1:60" x14ac:dyDescent="0.25">
      <c r="A3" s="16"/>
      <c r="B3" s="2"/>
      <c r="C3" s="17">
        <f t="shared" si="0"/>
        <v>4.1666666666666664E-2</v>
      </c>
      <c r="D3" s="16"/>
      <c r="E3" s="16"/>
      <c r="G3" s="23"/>
      <c r="H3" s="23"/>
      <c r="I3" s="23"/>
      <c r="J3" s="24"/>
      <c r="K3" s="24"/>
      <c r="L3" s="25"/>
      <c r="M3" s="25"/>
      <c r="N3" s="23"/>
      <c r="O3" s="23"/>
      <c r="P3" s="23"/>
      <c r="Q3" s="23"/>
      <c r="R3" s="23"/>
      <c r="S3" s="23"/>
      <c r="T3" s="23"/>
      <c r="U3" s="23"/>
      <c r="V3" s="23" t="s">
        <v>7</v>
      </c>
      <c r="W3" s="23" t="s">
        <v>7</v>
      </c>
      <c r="X3" s="23" t="s">
        <v>7</v>
      </c>
      <c r="Y3" s="23" t="b">
        <v>0</v>
      </c>
      <c r="Z3" s="23" t="b">
        <v>0</v>
      </c>
      <c r="AA3" s="26" t="s">
        <v>8</v>
      </c>
      <c r="AB3" s="23" t="b">
        <v>0</v>
      </c>
      <c r="AC3" s="26" t="s">
        <v>70</v>
      </c>
      <c r="AD3" s="23">
        <v>0</v>
      </c>
      <c r="AE3" s="23" t="b">
        <v>0</v>
      </c>
      <c r="AF3" s="23"/>
      <c r="AG3" s="26"/>
      <c r="AH3" s="23"/>
      <c r="AI3" s="26"/>
      <c r="AJ3" s="23" t="s">
        <v>16</v>
      </c>
      <c r="AK3" s="23"/>
      <c r="AL3" s="26"/>
      <c r="AM3" s="23"/>
      <c r="AN3" s="26"/>
      <c r="AO3" s="23"/>
      <c r="AP3" s="23" t="s">
        <v>11</v>
      </c>
      <c r="AQ3" s="23" t="s">
        <v>17</v>
      </c>
      <c r="AR3" s="26"/>
      <c r="AS3" s="23">
        <v>17388856</v>
      </c>
      <c r="AT3" s="26">
        <v>259431250</v>
      </c>
      <c r="AU3" s="23" t="s">
        <v>13</v>
      </c>
      <c r="AV3" s="23" t="b">
        <v>1</v>
      </c>
      <c r="AW3" s="26" t="s">
        <v>72</v>
      </c>
      <c r="AX3" s="26">
        <v>42205.273611111108</v>
      </c>
      <c r="AY3" s="26" t="s">
        <v>14</v>
      </c>
      <c r="AZ3" s="26">
        <v>42220.113888888889</v>
      </c>
      <c r="BB3" s="9" t="str">
        <f t="shared" si="1"/>
        <v>No</v>
      </c>
      <c r="BC3" s="9" t="str">
        <f>IF(EFB!$N3=Table1[[#This Row],[ProgramTitle]],"Yes","No")</f>
        <v>Yes</v>
      </c>
      <c r="BD3" s="9" t="str">
        <f>IF(EFB!$S3=Table1[[#This Row],[SeriesEpisodeTitle]],"Yes","No")</f>
        <v>Yes</v>
      </c>
      <c r="BE3" s="11">
        <f t="shared" ref="BE3:BE66" si="2">TIME(HOUR(C3),MINUTE(C3),SECOND(0))</f>
        <v>4.1666666666666664E-2</v>
      </c>
      <c r="BF3" s="11">
        <f t="shared" ref="BF3:BF66" si="3">TIME(HOUR(L3),MINUTE(L3),SECOND(0))</f>
        <v>0</v>
      </c>
      <c r="BH3" s="21">
        <f>Table1[[#This Row],[StartTime]]+$BG$2</f>
        <v>4.1666666666666664E-2</v>
      </c>
    </row>
    <row r="4" spans="1:60" x14ac:dyDescent="0.25">
      <c r="A4" s="16"/>
      <c r="B4" s="2"/>
      <c r="C4" s="17">
        <f t="shared" si="0"/>
        <v>4.1666666666666664E-2</v>
      </c>
      <c r="D4" s="16"/>
      <c r="E4" s="16"/>
      <c r="G4" s="23"/>
      <c r="H4" s="23"/>
      <c r="I4" s="23"/>
      <c r="J4" s="24"/>
      <c r="K4" s="24"/>
      <c r="L4" s="25"/>
      <c r="M4" s="25"/>
      <c r="N4" s="23"/>
      <c r="O4" s="23"/>
      <c r="P4" s="23"/>
      <c r="Q4" s="23"/>
      <c r="R4" s="23"/>
      <c r="S4" s="23"/>
      <c r="T4" s="23"/>
      <c r="U4" s="23" t="s">
        <v>7</v>
      </c>
      <c r="V4" s="23" t="s">
        <v>7</v>
      </c>
      <c r="W4" s="23" t="s">
        <v>7</v>
      </c>
      <c r="X4" s="23" t="s">
        <v>7</v>
      </c>
      <c r="Y4" s="23" t="b">
        <v>0</v>
      </c>
      <c r="Z4" s="23" t="b">
        <v>0</v>
      </c>
      <c r="AA4" s="26" t="s">
        <v>8</v>
      </c>
      <c r="AB4" s="23" t="b">
        <v>0</v>
      </c>
      <c r="AC4" s="26"/>
      <c r="AD4" s="23">
        <v>0</v>
      </c>
      <c r="AE4" s="23" t="b">
        <v>0</v>
      </c>
      <c r="AF4" s="23"/>
      <c r="AG4" s="26"/>
      <c r="AH4" s="23"/>
      <c r="AI4" s="26"/>
      <c r="AJ4" s="23" t="s">
        <v>16</v>
      </c>
      <c r="AK4" s="23"/>
      <c r="AL4" s="26"/>
      <c r="AM4" s="23"/>
      <c r="AN4" s="26"/>
      <c r="AO4" s="23"/>
      <c r="AP4" s="23" t="s">
        <v>11</v>
      </c>
      <c r="AQ4" s="23" t="s">
        <v>17</v>
      </c>
      <c r="AR4" s="26"/>
      <c r="AS4" s="23">
        <v>27537279</v>
      </c>
      <c r="AT4" s="26">
        <v>259431290</v>
      </c>
      <c r="AU4" s="23" t="s">
        <v>13</v>
      </c>
      <c r="AV4" s="23" t="b">
        <v>1</v>
      </c>
      <c r="AW4" s="26" t="s">
        <v>72</v>
      </c>
      <c r="AX4" s="26">
        <v>42205.273611111108</v>
      </c>
      <c r="AY4" s="26" t="s">
        <v>14</v>
      </c>
      <c r="AZ4" s="26">
        <v>42220.113888888889</v>
      </c>
      <c r="BB4" s="9" t="str">
        <f t="shared" si="1"/>
        <v>No</v>
      </c>
      <c r="BC4" s="9" t="str">
        <f>IF(EFB!$N4=Table1[[#This Row],[ProgramTitle]],"Yes","No")</f>
        <v>Yes</v>
      </c>
      <c r="BD4" s="9" t="str">
        <f>IF(EFB!$S4=Table1[[#This Row],[SeriesEpisodeTitle]],"Yes","No")</f>
        <v>Yes</v>
      </c>
      <c r="BE4" s="11">
        <f t="shared" si="2"/>
        <v>4.1666666666666664E-2</v>
      </c>
      <c r="BF4" s="11">
        <f t="shared" si="3"/>
        <v>0</v>
      </c>
      <c r="BH4" s="21">
        <f>Table1[[#This Row],[StartTime]]+$BG$2</f>
        <v>4.1666666666666664E-2</v>
      </c>
    </row>
    <row r="5" spans="1:60" x14ac:dyDescent="0.25">
      <c r="A5" s="16"/>
      <c r="B5" s="2"/>
      <c r="C5" s="17">
        <f t="shared" si="0"/>
        <v>4.1666666666666664E-2</v>
      </c>
      <c r="D5" s="16"/>
      <c r="E5" s="16"/>
      <c r="G5" s="23"/>
      <c r="H5" s="23"/>
      <c r="I5" s="23"/>
      <c r="J5" s="24"/>
      <c r="K5" s="24"/>
      <c r="L5" s="25"/>
      <c r="M5" s="25"/>
      <c r="N5" s="23"/>
      <c r="O5" s="23"/>
      <c r="P5" s="23"/>
      <c r="Q5" s="23"/>
      <c r="R5" s="23"/>
      <c r="S5" s="23"/>
      <c r="T5" s="23"/>
      <c r="U5" s="23" t="s">
        <v>7</v>
      </c>
      <c r="V5" s="23" t="s">
        <v>7</v>
      </c>
      <c r="W5" s="23" t="s">
        <v>7</v>
      </c>
      <c r="X5" s="23" t="s">
        <v>7</v>
      </c>
      <c r="Y5" s="23" t="b">
        <v>0</v>
      </c>
      <c r="Z5" s="23" t="b">
        <v>0</v>
      </c>
      <c r="AA5" s="26" t="s">
        <v>8</v>
      </c>
      <c r="AB5" s="23" t="b">
        <v>0</v>
      </c>
      <c r="AC5" s="26"/>
      <c r="AD5" s="23">
        <v>0</v>
      </c>
      <c r="AE5" s="23" t="b">
        <v>0</v>
      </c>
      <c r="AF5" s="23"/>
      <c r="AG5" s="26"/>
      <c r="AH5" s="23"/>
      <c r="AI5" s="26"/>
      <c r="AJ5" s="23" t="s">
        <v>10</v>
      </c>
      <c r="AK5" s="23"/>
      <c r="AL5" s="26"/>
      <c r="AM5" s="23"/>
      <c r="AN5" s="26"/>
      <c r="AO5" s="23"/>
      <c r="AP5" s="23" t="s">
        <v>11</v>
      </c>
      <c r="AQ5" s="23" t="s">
        <v>17</v>
      </c>
      <c r="AR5" s="26"/>
      <c r="AS5" s="23">
        <v>27580021</v>
      </c>
      <c r="AT5" s="26">
        <v>259702249</v>
      </c>
      <c r="AU5" s="23" t="s">
        <v>13</v>
      </c>
      <c r="AV5" s="23" t="b">
        <v>1</v>
      </c>
      <c r="AW5" s="26" t="s">
        <v>72</v>
      </c>
      <c r="AX5" s="26">
        <v>42205.273611111108</v>
      </c>
      <c r="AY5" s="26" t="s">
        <v>14</v>
      </c>
      <c r="AZ5" s="26">
        <v>42220.113888888889</v>
      </c>
      <c r="BB5" s="9" t="str">
        <f t="shared" si="1"/>
        <v>No</v>
      </c>
      <c r="BC5" s="9" t="str">
        <f>IF(EFB!$N5=Table1[[#This Row],[ProgramTitle]],"Yes","No")</f>
        <v>Yes</v>
      </c>
      <c r="BD5" s="9" t="str">
        <f>IF(EFB!$S5=Table1[[#This Row],[SeriesEpisodeTitle]],"Yes","No")</f>
        <v>Yes</v>
      </c>
      <c r="BE5" s="11">
        <f t="shared" si="2"/>
        <v>4.1666666666666664E-2</v>
      </c>
      <c r="BF5" s="11">
        <f t="shared" si="3"/>
        <v>0</v>
      </c>
      <c r="BH5" s="21">
        <f>Table1[[#This Row],[StartTime]]+$BG$2</f>
        <v>4.1666666666666664E-2</v>
      </c>
    </row>
    <row r="6" spans="1:60" x14ac:dyDescent="0.25">
      <c r="A6" s="16"/>
      <c r="B6" s="2"/>
      <c r="C6" s="17">
        <f t="shared" si="0"/>
        <v>4.1666666666666664E-2</v>
      </c>
      <c r="D6" s="16"/>
      <c r="E6" s="16"/>
      <c r="G6" s="23"/>
      <c r="H6" s="23"/>
      <c r="I6" s="23"/>
      <c r="J6" s="24"/>
      <c r="K6" s="24"/>
      <c r="L6" s="25"/>
      <c r="M6" s="25"/>
      <c r="N6" s="23"/>
      <c r="O6" s="23"/>
      <c r="P6" s="23"/>
      <c r="Q6" s="23"/>
      <c r="R6" s="23"/>
      <c r="S6" s="23"/>
      <c r="T6" s="23"/>
      <c r="U6" s="23" t="s">
        <v>7</v>
      </c>
      <c r="V6" s="23" t="s">
        <v>7</v>
      </c>
      <c r="W6" s="23" t="s">
        <v>7</v>
      </c>
      <c r="X6" s="23" t="s">
        <v>7</v>
      </c>
      <c r="Y6" s="23" t="b">
        <v>0</v>
      </c>
      <c r="Z6" s="23" t="b">
        <v>0</v>
      </c>
      <c r="AA6" s="26" t="s">
        <v>8</v>
      </c>
      <c r="AB6" s="23" t="b">
        <v>0</v>
      </c>
      <c r="AC6" s="26"/>
      <c r="AD6" s="23">
        <v>0</v>
      </c>
      <c r="AE6" s="23" t="b">
        <v>0</v>
      </c>
      <c r="AF6" s="23"/>
      <c r="AG6" s="26"/>
      <c r="AH6" s="23"/>
      <c r="AI6" s="26"/>
      <c r="AJ6" s="23" t="s">
        <v>10</v>
      </c>
      <c r="AK6" s="23"/>
      <c r="AL6" s="26"/>
      <c r="AM6" s="23"/>
      <c r="AN6" s="26"/>
      <c r="AO6" s="23"/>
      <c r="AP6" s="23" t="s">
        <v>11</v>
      </c>
      <c r="AQ6" s="23" t="s">
        <v>17</v>
      </c>
      <c r="AR6" s="26"/>
      <c r="AS6" s="23">
        <v>27580033</v>
      </c>
      <c r="AT6" s="26">
        <v>259431313</v>
      </c>
      <c r="AU6" s="23" t="s">
        <v>13</v>
      </c>
      <c r="AV6" s="23" t="b">
        <v>1</v>
      </c>
      <c r="AW6" s="26" t="s">
        <v>72</v>
      </c>
      <c r="AX6" s="26">
        <v>42205.273611111108</v>
      </c>
      <c r="AY6" s="26" t="s">
        <v>14</v>
      </c>
      <c r="AZ6" s="26">
        <v>42220.113888888889</v>
      </c>
      <c r="BB6" s="9" t="str">
        <f t="shared" si="1"/>
        <v>No</v>
      </c>
      <c r="BC6" s="9" t="str">
        <f>IF(EFB!$N6=Table1[[#This Row],[ProgramTitle]],"Yes","No")</f>
        <v>Yes</v>
      </c>
      <c r="BD6" s="9" t="str">
        <f>IF(EFB!$S6=Table1[[#This Row],[SeriesEpisodeTitle]],"Yes","No")</f>
        <v>Yes</v>
      </c>
      <c r="BE6" s="11">
        <f t="shared" si="2"/>
        <v>4.1666666666666664E-2</v>
      </c>
      <c r="BF6" s="11">
        <f t="shared" si="3"/>
        <v>0</v>
      </c>
      <c r="BH6" s="21">
        <f>Table1[[#This Row],[StartTime]]+$BG$2</f>
        <v>4.1666666666666664E-2</v>
      </c>
    </row>
    <row r="7" spans="1:60" x14ac:dyDescent="0.25">
      <c r="A7" s="16"/>
      <c r="B7" s="2"/>
      <c r="C7" s="17">
        <f t="shared" si="0"/>
        <v>4.1666666666666664E-2</v>
      </c>
      <c r="D7" s="16"/>
      <c r="E7" s="16"/>
      <c r="G7" s="23"/>
      <c r="H7" s="23"/>
      <c r="I7" s="23"/>
      <c r="J7" s="24"/>
      <c r="K7" s="24"/>
      <c r="L7" s="25"/>
      <c r="M7" s="25"/>
      <c r="N7" s="23"/>
      <c r="O7" s="23"/>
      <c r="P7" s="23"/>
      <c r="Q7" s="23"/>
      <c r="R7" s="23"/>
      <c r="S7" s="23"/>
      <c r="T7" s="23"/>
      <c r="U7" s="23" t="s">
        <v>7</v>
      </c>
      <c r="V7" s="23" t="s">
        <v>7</v>
      </c>
      <c r="W7" s="23" t="s">
        <v>7</v>
      </c>
      <c r="X7" s="23" t="s">
        <v>7</v>
      </c>
      <c r="Y7" s="23" t="b">
        <v>0</v>
      </c>
      <c r="Z7" s="23" t="b">
        <v>0</v>
      </c>
      <c r="AA7" s="26" t="s">
        <v>8</v>
      </c>
      <c r="AB7" s="23" t="b">
        <v>0</v>
      </c>
      <c r="AC7" s="26"/>
      <c r="AD7" s="23">
        <v>0</v>
      </c>
      <c r="AE7" s="23" t="b">
        <v>0</v>
      </c>
      <c r="AF7" s="23"/>
      <c r="AG7" s="26"/>
      <c r="AH7" s="23"/>
      <c r="AI7" s="26"/>
      <c r="AJ7" s="23" t="s">
        <v>10</v>
      </c>
      <c r="AK7" s="23"/>
      <c r="AL7" s="26"/>
      <c r="AM7" s="23"/>
      <c r="AN7" s="26"/>
      <c r="AO7" s="23"/>
      <c r="AP7" s="23" t="s">
        <v>11</v>
      </c>
      <c r="AQ7" s="23" t="s">
        <v>17</v>
      </c>
      <c r="AR7" s="26"/>
      <c r="AS7" s="23">
        <v>20847475</v>
      </c>
      <c r="AT7" s="26">
        <v>259431262</v>
      </c>
      <c r="AU7" s="23" t="s">
        <v>13</v>
      </c>
      <c r="AV7" s="23" t="b">
        <v>1</v>
      </c>
      <c r="AW7" s="26" t="s">
        <v>72</v>
      </c>
      <c r="AX7" s="26">
        <v>42205.273611111108</v>
      </c>
      <c r="AY7" s="26" t="s">
        <v>14</v>
      </c>
      <c r="AZ7" s="26">
        <v>42220.113888888889</v>
      </c>
      <c r="BB7" s="9" t="str">
        <f t="shared" si="1"/>
        <v>No</v>
      </c>
      <c r="BC7" s="9" t="str">
        <f>IF(EFB!$N7=Table1[[#This Row],[ProgramTitle]],"Yes","No")</f>
        <v>Yes</v>
      </c>
      <c r="BD7" s="9" t="str">
        <f>IF(EFB!$S7=Table1[[#This Row],[SeriesEpisodeTitle]],"Yes","No")</f>
        <v>Yes</v>
      </c>
      <c r="BE7" s="11">
        <f t="shared" si="2"/>
        <v>4.1666666666666664E-2</v>
      </c>
      <c r="BF7" s="11">
        <f t="shared" si="3"/>
        <v>0</v>
      </c>
      <c r="BH7" s="21">
        <f>Table1[[#This Row],[StartTime]]+$BG$2</f>
        <v>4.1666666666666664E-2</v>
      </c>
    </row>
    <row r="8" spans="1:60" x14ac:dyDescent="0.25">
      <c r="A8" s="16"/>
      <c r="B8" s="2"/>
      <c r="C8" s="17">
        <f t="shared" si="0"/>
        <v>4.1666666666666664E-2</v>
      </c>
      <c r="D8" s="16"/>
      <c r="E8" s="16"/>
      <c r="G8" s="23"/>
      <c r="H8" s="23"/>
      <c r="I8" s="23"/>
      <c r="J8" s="24"/>
      <c r="K8" s="24"/>
      <c r="L8" s="25"/>
      <c r="M8" s="25"/>
      <c r="N8" s="23"/>
      <c r="O8" s="23"/>
      <c r="P8" s="23"/>
      <c r="Q8" s="23"/>
      <c r="R8" s="23"/>
      <c r="S8" s="23"/>
      <c r="T8" s="23"/>
      <c r="U8" s="23" t="s">
        <v>7</v>
      </c>
      <c r="V8" s="23" t="s">
        <v>7</v>
      </c>
      <c r="W8" s="23" t="s">
        <v>7</v>
      </c>
      <c r="X8" s="23" t="s">
        <v>7</v>
      </c>
      <c r="Y8" s="23" t="b">
        <v>0</v>
      </c>
      <c r="Z8" s="23" t="b">
        <v>0</v>
      </c>
      <c r="AA8" s="26" t="s">
        <v>8</v>
      </c>
      <c r="AB8" s="23" t="b">
        <v>0</v>
      </c>
      <c r="AC8" s="26" t="s">
        <v>19</v>
      </c>
      <c r="AD8" s="23">
        <v>0</v>
      </c>
      <c r="AE8" s="23" t="b">
        <v>0</v>
      </c>
      <c r="AF8" s="23"/>
      <c r="AG8" s="26"/>
      <c r="AH8" s="23"/>
      <c r="AI8" s="26"/>
      <c r="AJ8" s="23" t="s">
        <v>10</v>
      </c>
      <c r="AK8" s="23"/>
      <c r="AL8" s="26"/>
      <c r="AM8" s="23"/>
      <c r="AN8" s="26"/>
      <c r="AO8" s="23"/>
      <c r="AP8" s="23" t="s">
        <v>11</v>
      </c>
      <c r="AQ8" s="23" t="s">
        <v>17</v>
      </c>
      <c r="AR8" s="26"/>
      <c r="AS8" s="23">
        <v>15151796</v>
      </c>
      <c r="AT8" s="26">
        <v>285575784</v>
      </c>
      <c r="AU8" s="23" t="s">
        <v>13</v>
      </c>
      <c r="AV8" s="23" t="b">
        <v>1</v>
      </c>
      <c r="AW8" s="26" t="s">
        <v>14</v>
      </c>
      <c r="AX8" s="26">
        <v>42220.113888888889</v>
      </c>
      <c r="AY8" s="26" t="s">
        <v>14</v>
      </c>
      <c r="AZ8" s="26">
        <v>42220.113888888889</v>
      </c>
      <c r="BB8" s="9" t="str">
        <f t="shared" si="1"/>
        <v>No</v>
      </c>
      <c r="BC8" s="9" t="str">
        <f>IF(EFB!$N8=Table1[[#This Row],[ProgramTitle]],"Yes","No")</f>
        <v>Yes</v>
      </c>
      <c r="BD8" s="9" t="str">
        <f>IF(EFB!$S8=Table1[[#This Row],[SeriesEpisodeTitle]],"Yes","No")</f>
        <v>Yes</v>
      </c>
      <c r="BE8" s="11">
        <f t="shared" si="2"/>
        <v>4.1666666666666664E-2</v>
      </c>
      <c r="BF8" s="11">
        <f t="shared" si="3"/>
        <v>0</v>
      </c>
      <c r="BH8" s="21">
        <f>Table1[[#This Row],[StartTime]]+$BG$2</f>
        <v>4.1666666666666664E-2</v>
      </c>
    </row>
    <row r="9" spans="1:60" x14ac:dyDescent="0.25">
      <c r="A9" s="16"/>
      <c r="B9" s="2"/>
      <c r="C9" s="17">
        <f t="shared" si="0"/>
        <v>4.1666666666666664E-2</v>
      </c>
      <c r="D9" s="16"/>
      <c r="E9" s="16"/>
      <c r="G9" s="23"/>
      <c r="H9" s="23"/>
      <c r="I9" s="23"/>
      <c r="J9" s="24"/>
      <c r="K9" s="24"/>
      <c r="L9" s="25"/>
      <c r="M9" s="25"/>
      <c r="N9" s="23"/>
      <c r="O9" s="23"/>
      <c r="P9" s="23"/>
      <c r="Q9" s="23"/>
      <c r="R9" s="23"/>
      <c r="S9" s="23"/>
      <c r="T9" s="23"/>
      <c r="U9" s="23" t="s">
        <v>7</v>
      </c>
      <c r="V9" s="23" t="s">
        <v>7</v>
      </c>
      <c r="W9" s="23" t="s">
        <v>7</v>
      </c>
      <c r="X9" s="23" t="s">
        <v>7</v>
      </c>
      <c r="Y9" s="23" t="b">
        <v>0</v>
      </c>
      <c r="Z9" s="23" t="b">
        <v>0</v>
      </c>
      <c r="AA9" s="26" t="s">
        <v>8</v>
      </c>
      <c r="AB9" s="23" t="b">
        <v>0</v>
      </c>
      <c r="AC9" s="26" t="s">
        <v>18</v>
      </c>
      <c r="AD9" s="23">
        <v>0</v>
      </c>
      <c r="AE9" s="23" t="b">
        <v>0</v>
      </c>
      <c r="AF9" s="23"/>
      <c r="AG9" s="26"/>
      <c r="AH9" s="23"/>
      <c r="AI9" s="26"/>
      <c r="AJ9" s="23" t="s">
        <v>10</v>
      </c>
      <c r="AK9" s="23"/>
      <c r="AL9" s="26"/>
      <c r="AM9" s="23"/>
      <c r="AN9" s="26"/>
      <c r="AO9" s="23"/>
      <c r="AP9" s="23" t="s">
        <v>11</v>
      </c>
      <c r="AQ9" s="23" t="s">
        <v>17</v>
      </c>
      <c r="AR9" s="26"/>
      <c r="AS9" s="23">
        <v>15398057</v>
      </c>
      <c r="AT9" s="26">
        <v>259431237</v>
      </c>
      <c r="AU9" s="23" t="s">
        <v>13</v>
      </c>
      <c r="AV9" s="23" t="b">
        <v>1</v>
      </c>
      <c r="AW9" s="26" t="s">
        <v>72</v>
      </c>
      <c r="AX9" s="26">
        <v>42205.273611111108</v>
      </c>
      <c r="AY9" s="26" t="s">
        <v>14</v>
      </c>
      <c r="AZ9" s="26">
        <v>42220.113888888889</v>
      </c>
      <c r="BB9" s="9" t="str">
        <f t="shared" si="1"/>
        <v>No</v>
      </c>
      <c r="BC9" s="9" t="str">
        <f>IF(EFB!$N9=Table1[[#This Row],[ProgramTitle]],"Yes","No")</f>
        <v>Yes</v>
      </c>
      <c r="BD9" s="9" t="str">
        <f>IF(EFB!$S9=Table1[[#This Row],[SeriesEpisodeTitle]],"Yes","No")</f>
        <v>Yes</v>
      </c>
      <c r="BE9" s="11">
        <f t="shared" si="2"/>
        <v>4.1666666666666664E-2</v>
      </c>
      <c r="BF9" s="11">
        <f t="shared" si="3"/>
        <v>0</v>
      </c>
      <c r="BH9" s="21">
        <f>Table1[[#This Row],[StartTime]]+$BG$2</f>
        <v>4.1666666666666664E-2</v>
      </c>
    </row>
    <row r="10" spans="1:60" s="4" customFormat="1" x14ac:dyDescent="0.25">
      <c r="A10" s="16"/>
      <c r="B10" s="2"/>
      <c r="C10" s="17">
        <f t="shared" si="0"/>
        <v>4.1666666666666664E-2</v>
      </c>
      <c r="D10" s="16"/>
      <c r="E10" s="16"/>
      <c r="F10" s="18"/>
      <c r="G10" s="23"/>
      <c r="H10" s="23"/>
      <c r="I10" s="23"/>
      <c r="J10" s="24"/>
      <c r="K10" s="24"/>
      <c r="L10" s="25"/>
      <c r="M10" s="25"/>
      <c r="N10" s="23"/>
      <c r="O10" s="23"/>
      <c r="P10" s="23"/>
      <c r="Q10" s="23"/>
      <c r="R10" s="23"/>
      <c r="S10" s="23"/>
      <c r="T10" s="23"/>
      <c r="U10" s="23" t="s">
        <v>7</v>
      </c>
      <c r="V10" s="23" t="s">
        <v>7</v>
      </c>
      <c r="W10" s="23" t="s">
        <v>7</v>
      </c>
      <c r="X10" s="23" t="s">
        <v>7</v>
      </c>
      <c r="Y10" s="23" t="b">
        <v>0</v>
      </c>
      <c r="Z10" s="23" t="b">
        <v>0</v>
      </c>
      <c r="AA10" s="26" t="s">
        <v>8</v>
      </c>
      <c r="AB10" s="23" t="b">
        <v>0</v>
      </c>
      <c r="AC10" s="26" t="s">
        <v>15</v>
      </c>
      <c r="AD10" s="23">
        <v>0</v>
      </c>
      <c r="AE10" s="23" t="b">
        <v>0</v>
      </c>
      <c r="AF10" s="23"/>
      <c r="AG10" s="26"/>
      <c r="AH10" s="23"/>
      <c r="AI10" s="26"/>
      <c r="AJ10" s="23" t="s">
        <v>16</v>
      </c>
      <c r="AK10" s="23"/>
      <c r="AL10" s="26"/>
      <c r="AM10" s="23"/>
      <c r="AN10" s="26"/>
      <c r="AO10" s="23"/>
      <c r="AP10" s="23" t="s">
        <v>11</v>
      </c>
      <c r="AQ10" s="23" t="s">
        <v>17</v>
      </c>
      <c r="AR10" s="26"/>
      <c r="AS10" s="23">
        <v>24324661</v>
      </c>
      <c r="AT10" s="26">
        <v>259431280</v>
      </c>
      <c r="AU10" s="23" t="s">
        <v>13</v>
      </c>
      <c r="AV10" s="23" t="b">
        <v>1</v>
      </c>
      <c r="AW10" s="26" t="s">
        <v>72</v>
      </c>
      <c r="AX10" s="26">
        <v>42205.273611111108</v>
      </c>
      <c r="AY10" s="26" t="s">
        <v>14</v>
      </c>
      <c r="AZ10" s="26">
        <v>42220.113888888889</v>
      </c>
      <c r="BA10" s="1"/>
      <c r="BB10" s="9" t="str">
        <f t="shared" si="1"/>
        <v>No</v>
      </c>
      <c r="BC10" s="9" t="str">
        <f>IF(EFB!$N10=Table1[[#This Row],[ProgramTitle]],"Yes","No")</f>
        <v>Yes</v>
      </c>
      <c r="BD10" s="9" t="str">
        <f>IF(EFB!$S10=Table1[[#This Row],[SeriesEpisodeTitle]],"Yes","No")</f>
        <v>Yes</v>
      </c>
      <c r="BE10" s="11">
        <f t="shared" si="2"/>
        <v>4.1666666666666664E-2</v>
      </c>
      <c r="BF10" s="11">
        <f t="shared" si="3"/>
        <v>0</v>
      </c>
      <c r="BH10" s="21">
        <f>Table1[[#This Row],[StartTime]]+$BG$2</f>
        <v>4.1666666666666664E-2</v>
      </c>
    </row>
    <row r="11" spans="1:60" x14ac:dyDescent="0.25">
      <c r="A11" s="16"/>
      <c r="B11" s="27"/>
      <c r="C11" s="17">
        <f t="shared" si="0"/>
        <v>4.1666666666666664E-2</v>
      </c>
      <c r="D11" s="16"/>
      <c r="E11" s="16"/>
      <c r="G11" s="23"/>
      <c r="H11" s="23"/>
      <c r="I11" s="23"/>
      <c r="J11" s="24"/>
      <c r="K11" s="24"/>
      <c r="L11" s="25"/>
      <c r="M11" s="25"/>
      <c r="N11" s="23"/>
      <c r="O11" s="23"/>
      <c r="P11" s="23"/>
      <c r="Q11" s="23"/>
      <c r="R11" s="23"/>
      <c r="S11" s="23"/>
      <c r="T11" s="23"/>
      <c r="U11" s="23" t="s">
        <v>7</v>
      </c>
      <c r="V11" s="23" t="s">
        <v>7</v>
      </c>
      <c r="W11" s="23" t="s">
        <v>7</v>
      </c>
      <c r="X11" s="23" t="s">
        <v>7</v>
      </c>
      <c r="Y11" s="23" t="b">
        <v>0</v>
      </c>
      <c r="Z11" s="23" t="b">
        <v>0</v>
      </c>
      <c r="AA11" s="26" t="s">
        <v>8</v>
      </c>
      <c r="AB11" s="23" t="b">
        <v>0</v>
      </c>
      <c r="AC11" s="26" t="s">
        <v>15</v>
      </c>
      <c r="AD11" s="23">
        <v>0</v>
      </c>
      <c r="AE11" s="23" t="b">
        <v>0</v>
      </c>
      <c r="AF11" s="23"/>
      <c r="AG11" s="26"/>
      <c r="AH11" s="23"/>
      <c r="AI11" s="26"/>
      <c r="AJ11" s="23" t="s">
        <v>16</v>
      </c>
      <c r="AK11" s="23"/>
      <c r="AL11" s="26"/>
      <c r="AM11" s="23"/>
      <c r="AN11" s="26"/>
      <c r="AO11" s="23"/>
      <c r="AP11" s="23" t="s">
        <v>11</v>
      </c>
      <c r="AQ11" s="23" t="s">
        <v>17</v>
      </c>
      <c r="AR11" s="26"/>
      <c r="AS11" s="23">
        <v>24324654</v>
      </c>
      <c r="AT11" s="26">
        <v>259431278</v>
      </c>
      <c r="AU11" s="23" t="s">
        <v>13</v>
      </c>
      <c r="AV11" s="23" t="b">
        <v>1</v>
      </c>
      <c r="AW11" s="26" t="s">
        <v>72</v>
      </c>
      <c r="AX11" s="26">
        <v>42205.273611111108</v>
      </c>
      <c r="AY11" s="26" t="s">
        <v>14</v>
      </c>
      <c r="AZ11" s="26">
        <v>42220.113888888889</v>
      </c>
      <c r="BB11" s="9" t="str">
        <f t="shared" si="1"/>
        <v>No</v>
      </c>
      <c r="BC11" s="9" t="str">
        <f>IF(EFB!$N11=Table1[[#This Row],[ProgramTitle]],"Yes","No")</f>
        <v>Yes</v>
      </c>
      <c r="BD11" s="9" t="str">
        <f>IF(EFB!$S11=Table1[[#This Row],[SeriesEpisodeTitle]],"Yes","No")</f>
        <v>Yes</v>
      </c>
      <c r="BE11" s="11">
        <f t="shared" si="2"/>
        <v>4.1666666666666664E-2</v>
      </c>
      <c r="BF11" s="11">
        <f t="shared" si="3"/>
        <v>0</v>
      </c>
      <c r="BH11" s="21">
        <f>Table1[[#This Row],[StartTime]]+$BG$2</f>
        <v>4.1666666666666664E-2</v>
      </c>
    </row>
    <row r="12" spans="1:60" x14ac:dyDescent="0.25">
      <c r="A12" s="16"/>
      <c r="B12" s="2"/>
      <c r="C12" s="17">
        <f t="shared" si="0"/>
        <v>4.1666666666666664E-2</v>
      </c>
      <c r="D12" s="16"/>
      <c r="E12" s="16"/>
      <c r="G12" s="23"/>
      <c r="H12" s="23"/>
      <c r="I12" s="23"/>
      <c r="J12" s="24"/>
      <c r="K12" s="24"/>
      <c r="L12" s="25"/>
      <c r="M12" s="25"/>
      <c r="N12" s="23"/>
      <c r="O12" s="23"/>
      <c r="P12" s="23"/>
      <c r="Q12" s="23"/>
      <c r="R12" s="23"/>
      <c r="S12" s="23"/>
      <c r="T12" s="23"/>
      <c r="U12" s="23" t="s">
        <v>7</v>
      </c>
      <c r="V12" s="23" t="s">
        <v>7</v>
      </c>
      <c r="W12" s="23" t="s">
        <v>7</v>
      </c>
      <c r="X12" s="23" t="s">
        <v>7</v>
      </c>
      <c r="Y12" s="23" t="b">
        <v>0</v>
      </c>
      <c r="Z12" s="23" t="b">
        <v>0</v>
      </c>
      <c r="AA12" s="26" t="s">
        <v>8</v>
      </c>
      <c r="AB12" s="23" t="b">
        <v>0</v>
      </c>
      <c r="AC12" s="26" t="s">
        <v>19</v>
      </c>
      <c r="AD12" s="23">
        <v>0</v>
      </c>
      <c r="AE12" s="23" t="b">
        <v>0</v>
      </c>
      <c r="AF12" s="23"/>
      <c r="AG12" s="26"/>
      <c r="AH12" s="23"/>
      <c r="AI12" s="26"/>
      <c r="AJ12" s="23" t="s">
        <v>10</v>
      </c>
      <c r="AK12" s="23"/>
      <c r="AL12" s="26"/>
      <c r="AM12" s="23"/>
      <c r="AN12" s="26"/>
      <c r="AO12" s="23"/>
      <c r="AP12" s="23" t="s">
        <v>11</v>
      </c>
      <c r="AQ12" s="23" t="s">
        <v>17</v>
      </c>
      <c r="AR12" s="26"/>
      <c r="AS12" s="23">
        <v>15151796</v>
      </c>
      <c r="AT12" s="26">
        <v>259431223</v>
      </c>
      <c r="AU12" s="23" t="s">
        <v>13</v>
      </c>
      <c r="AV12" s="23" t="b">
        <v>1</v>
      </c>
      <c r="AW12" s="26" t="s">
        <v>72</v>
      </c>
      <c r="AX12" s="26">
        <v>42205.273611111108</v>
      </c>
      <c r="AY12" s="26" t="s">
        <v>14</v>
      </c>
      <c r="AZ12" s="26">
        <v>42220.113888888889</v>
      </c>
      <c r="BB12" s="9" t="str">
        <f t="shared" si="1"/>
        <v>No</v>
      </c>
      <c r="BC12" s="9" t="str">
        <f>IF(EFB!$N12=Table1[[#This Row],[ProgramTitle]],"Yes","No")</f>
        <v>Yes</v>
      </c>
      <c r="BD12" s="9" t="str">
        <f>IF(EFB!$S12=Table1[[#This Row],[SeriesEpisodeTitle]],"Yes","No")</f>
        <v>Yes</v>
      </c>
      <c r="BE12" s="11">
        <f t="shared" si="2"/>
        <v>4.1666666666666664E-2</v>
      </c>
      <c r="BF12" s="11">
        <f t="shared" si="3"/>
        <v>0</v>
      </c>
      <c r="BH12" s="21">
        <f>Table1[[#This Row],[StartTime]]+$BG$2</f>
        <v>4.1666666666666664E-2</v>
      </c>
    </row>
    <row r="13" spans="1:60" x14ac:dyDescent="0.25">
      <c r="A13" s="16"/>
      <c r="B13" s="2"/>
      <c r="C13" s="17">
        <f t="shared" si="0"/>
        <v>4.1666666666666664E-2</v>
      </c>
      <c r="D13" s="16"/>
      <c r="E13" s="16"/>
      <c r="G13" s="23"/>
      <c r="H13" s="23"/>
      <c r="I13" s="23"/>
      <c r="J13" s="24"/>
      <c r="K13" s="24"/>
      <c r="L13" s="25"/>
      <c r="M13" s="25"/>
      <c r="N13" s="23"/>
      <c r="O13" s="23"/>
      <c r="P13" s="23"/>
      <c r="Q13" s="23"/>
      <c r="R13" s="23"/>
      <c r="S13" s="23"/>
      <c r="T13" s="23"/>
      <c r="U13" s="23" t="s">
        <v>7</v>
      </c>
      <c r="V13" s="23" t="s">
        <v>7</v>
      </c>
      <c r="W13" s="23" t="s">
        <v>7</v>
      </c>
      <c r="X13" s="23" t="s">
        <v>7</v>
      </c>
      <c r="Y13" s="23" t="b">
        <v>0</v>
      </c>
      <c r="Z13" s="23" t="b">
        <v>0</v>
      </c>
      <c r="AA13" s="26" t="s">
        <v>8</v>
      </c>
      <c r="AB13" s="23" t="b">
        <v>0</v>
      </c>
      <c r="AC13" s="26"/>
      <c r="AD13" s="23">
        <v>0</v>
      </c>
      <c r="AE13" s="23" t="b">
        <v>0</v>
      </c>
      <c r="AF13" s="23"/>
      <c r="AG13" s="26"/>
      <c r="AH13" s="23"/>
      <c r="AI13" s="26"/>
      <c r="AJ13" s="23" t="s">
        <v>10</v>
      </c>
      <c r="AK13" s="23"/>
      <c r="AL13" s="26"/>
      <c r="AM13" s="23"/>
      <c r="AN13" s="26"/>
      <c r="AO13" s="23"/>
      <c r="AP13" s="23" t="s">
        <v>11</v>
      </c>
      <c r="AQ13" s="23" t="s">
        <v>17</v>
      </c>
      <c r="AR13" s="26"/>
      <c r="AS13" s="23">
        <v>20847475</v>
      </c>
      <c r="AT13" s="26">
        <v>259431261</v>
      </c>
      <c r="AU13" s="23" t="s">
        <v>13</v>
      </c>
      <c r="AV13" s="23" t="b">
        <v>1</v>
      </c>
      <c r="AW13" s="26" t="s">
        <v>72</v>
      </c>
      <c r="AX13" s="26">
        <v>42205.273611111108</v>
      </c>
      <c r="AY13" s="26" t="s">
        <v>14</v>
      </c>
      <c r="AZ13" s="26">
        <v>42220.113888888889</v>
      </c>
      <c r="BB13" s="9" t="str">
        <f t="shared" si="1"/>
        <v>No</v>
      </c>
      <c r="BC13" s="9" t="str">
        <f>IF(EFB!$N13=Table1[[#This Row],[ProgramTitle]],"Yes","No")</f>
        <v>Yes</v>
      </c>
      <c r="BD13" s="9" t="str">
        <f>IF(EFB!$S13=Table1[[#This Row],[SeriesEpisodeTitle]],"Yes","No")</f>
        <v>Yes</v>
      </c>
      <c r="BE13" s="11">
        <f t="shared" si="2"/>
        <v>4.1666666666666664E-2</v>
      </c>
      <c r="BF13" s="11">
        <f t="shared" si="3"/>
        <v>0</v>
      </c>
      <c r="BH13" s="21">
        <f>Table1[[#This Row],[StartTime]]+$BG$2</f>
        <v>4.1666666666666664E-2</v>
      </c>
    </row>
    <row r="14" spans="1:60" x14ac:dyDescent="0.25">
      <c r="A14" s="16"/>
      <c r="B14" s="2"/>
      <c r="C14" s="17">
        <f t="shared" si="0"/>
        <v>4.1666666666666664E-2</v>
      </c>
      <c r="D14" s="16"/>
      <c r="E14" s="16"/>
      <c r="G14" s="23"/>
      <c r="H14" s="23"/>
      <c r="I14" s="23"/>
      <c r="J14" s="24"/>
      <c r="K14" s="24"/>
      <c r="L14" s="25"/>
      <c r="M14" s="25"/>
      <c r="N14" s="23"/>
      <c r="O14" s="23"/>
      <c r="P14" s="23"/>
      <c r="Q14" s="23"/>
      <c r="R14" s="23"/>
      <c r="S14" s="23"/>
      <c r="T14" s="23"/>
      <c r="U14" s="23"/>
      <c r="V14" s="23" t="s">
        <v>7</v>
      </c>
      <c r="W14" s="23" t="s">
        <v>7</v>
      </c>
      <c r="X14" s="23" t="s">
        <v>7</v>
      </c>
      <c r="Y14" s="23" t="b">
        <v>0</v>
      </c>
      <c r="Z14" s="23" t="b">
        <v>0</v>
      </c>
      <c r="AA14" s="26" t="s">
        <v>8</v>
      </c>
      <c r="AB14" s="23" t="b">
        <v>0</v>
      </c>
      <c r="AC14" s="26" t="s">
        <v>70</v>
      </c>
      <c r="AD14" s="23">
        <v>0</v>
      </c>
      <c r="AE14" s="23" t="b">
        <v>0</v>
      </c>
      <c r="AF14" s="23"/>
      <c r="AG14" s="26"/>
      <c r="AH14" s="23"/>
      <c r="AI14" s="26"/>
      <c r="AJ14" s="23" t="s">
        <v>16</v>
      </c>
      <c r="AK14" s="23"/>
      <c r="AL14" s="26"/>
      <c r="AM14" s="23"/>
      <c r="AN14" s="26"/>
      <c r="AO14" s="23"/>
      <c r="AP14" s="23" t="s">
        <v>11</v>
      </c>
      <c r="AQ14" s="23" t="s">
        <v>17</v>
      </c>
      <c r="AR14" s="26"/>
      <c r="AS14" s="23">
        <v>17388856</v>
      </c>
      <c r="AT14" s="26">
        <v>259431248</v>
      </c>
      <c r="AU14" s="23" t="s">
        <v>13</v>
      </c>
      <c r="AV14" s="23" t="b">
        <v>1</v>
      </c>
      <c r="AW14" s="26" t="s">
        <v>72</v>
      </c>
      <c r="AX14" s="26">
        <v>42205.273611111108</v>
      </c>
      <c r="AY14" s="26" t="s">
        <v>14</v>
      </c>
      <c r="AZ14" s="26">
        <v>42220.113888888889</v>
      </c>
      <c r="BB14" s="9" t="str">
        <f t="shared" si="1"/>
        <v>No</v>
      </c>
      <c r="BC14" s="9" t="str">
        <f>IF(EFB!$N14=Table1[[#This Row],[ProgramTitle]],"Yes","No")</f>
        <v>Yes</v>
      </c>
      <c r="BD14" s="9" t="str">
        <f>IF(EFB!$S14=Table1[[#This Row],[SeriesEpisodeTitle]],"Yes","No")</f>
        <v>Yes</v>
      </c>
      <c r="BE14" s="11">
        <f t="shared" si="2"/>
        <v>4.1666666666666664E-2</v>
      </c>
      <c r="BF14" s="11">
        <f t="shared" si="3"/>
        <v>0</v>
      </c>
      <c r="BH14" s="21">
        <f>Table1[[#This Row],[StartTime]]+$BG$2</f>
        <v>4.1666666666666664E-2</v>
      </c>
    </row>
    <row r="15" spans="1:60" x14ac:dyDescent="0.25">
      <c r="A15" s="16"/>
      <c r="B15" s="2"/>
      <c r="C15" s="17">
        <f t="shared" si="0"/>
        <v>4.1666666666666664E-2</v>
      </c>
      <c r="D15" s="16"/>
      <c r="E15" s="16"/>
      <c r="G15" s="23"/>
      <c r="H15" s="23"/>
      <c r="I15" s="23"/>
      <c r="J15" s="24"/>
      <c r="K15" s="24"/>
      <c r="L15" s="25"/>
      <c r="M15" s="25"/>
      <c r="N15" s="23"/>
      <c r="O15" s="23"/>
      <c r="P15" s="23"/>
      <c r="Q15" s="23"/>
      <c r="R15" s="23"/>
      <c r="S15" s="23"/>
      <c r="T15" s="23"/>
      <c r="U15" s="23" t="s">
        <v>7</v>
      </c>
      <c r="V15" s="23" t="s">
        <v>7</v>
      </c>
      <c r="W15" s="23" t="s">
        <v>7</v>
      </c>
      <c r="X15" s="23" t="s">
        <v>7</v>
      </c>
      <c r="Y15" s="23" t="b">
        <v>0</v>
      </c>
      <c r="Z15" s="23" t="b">
        <v>0</v>
      </c>
      <c r="AA15" s="26" t="s">
        <v>8</v>
      </c>
      <c r="AB15" s="23" t="b">
        <v>0</v>
      </c>
      <c r="AC15" s="26" t="s">
        <v>70</v>
      </c>
      <c r="AD15" s="23">
        <v>0</v>
      </c>
      <c r="AE15" s="23" t="b">
        <v>0</v>
      </c>
      <c r="AF15" s="23"/>
      <c r="AG15" s="26" t="s">
        <v>69</v>
      </c>
      <c r="AH15" s="23"/>
      <c r="AI15" s="26"/>
      <c r="AJ15" s="23" t="s">
        <v>16</v>
      </c>
      <c r="AK15" s="23"/>
      <c r="AL15" s="26"/>
      <c r="AM15" s="23"/>
      <c r="AN15" s="26"/>
      <c r="AO15" s="23"/>
      <c r="AP15" s="23" t="s">
        <v>11</v>
      </c>
      <c r="AQ15" s="23" t="s">
        <v>17</v>
      </c>
      <c r="AR15" s="26"/>
      <c r="AS15" s="23">
        <v>17359081</v>
      </c>
      <c r="AT15" s="26">
        <v>259431245</v>
      </c>
      <c r="AU15" s="23" t="s">
        <v>13</v>
      </c>
      <c r="AV15" s="23" t="b">
        <v>1</v>
      </c>
      <c r="AW15" s="26" t="s">
        <v>72</v>
      </c>
      <c r="AX15" s="26">
        <v>42205.273611111108</v>
      </c>
      <c r="AY15" s="26" t="s">
        <v>14</v>
      </c>
      <c r="AZ15" s="26">
        <v>42220.113888888889</v>
      </c>
      <c r="BB15" s="9" t="str">
        <f t="shared" si="1"/>
        <v>No</v>
      </c>
      <c r="BC15" s="9" t="str">
        <f>IF(EFB!$N15=Table1[[#This Row],[ProgramTitle]],"Yes","No")</f>
        <v>Yes</v>
      </c>
      <c r="BD15" s="9" t="str">
        <f>IF(EFB!$S15=Table1[[#This Row],[SeriesEpisodeTitle]],"Yes","No")</f>
        <v>Yes</v>
      </c>
      <c r="BE15" s="11">
        <f t="shared" si="2"/>
        <v>4.1666666666666664E-2</v>
      </c>
      <c r="BF15" s="11">
        <f t="shared" si="3"/>
        <v>0</v>
      </c>
      <c r="BH15" s="21">
        <f>Table1[[#This Row],[StartTime]]+$BG$2</f>
        <v>4.1666666666666664E-2</v>
      </c>
    </row>
    <row r="16" spans="1:60" x14ac:dyDescent="0.25">
      <c r="A16" s="16"/>
      <c r="B16" s="2"/>
      <c r="C16" s="17">
        <f t="shared" si="0"/>
        <v>4.1666666666666664E-2</v>
      </c>
      <c r="D16" s="16"/>
      <c r="E16" s="16"/>
      <c r="G16" s="23"/>
      <c r="H16" s="23"/>
      <c r="I16" s="23"/>
      <c r="J16" s="24"/>
      <c r="K16" s="24"/>
      <c r="L16" s="25"/>
      <c r="M16" s="25"/>
      <c r="N16" s="23"/>
      <c r="O16" s="23"/>
      <c r="P16" s="23"/>
      <c r="Q16" s="23"/>
      <c r="R16" s="23"/>
      <c r="S16" s="23"/>
      <c r="T16" s="23"/>
      <c r="U16" s="23" t="s">
        <v>7</v>
      </c>
      <c r="V16" s="23" t="s">
        <v>7</v>
      </c>
      <c r="W16" s="23" t="s">
        <v>7</v>
      </c>
      <c r="X16" s="23" t="s">
        <v>7</v>
      </c>
      <c r="Y16" s="23" t="b">
        <v>0</v>
      </c>
      <c r="Z16" s="23" t="b">
        <v>0</v>
      </c>
      <c r="AA16" s="26" t="s">
        <v>8</v>
      </c>
      <c r="AB16" s="23" t="b">
        <v>0</v>
      </c>
      <c r="AC16" s="26" t="s">
        <v>18</v>
      </c>
      <c r="AD16" s="23">
        <v>0</v>
      </c>
      <c r="AE16" s="23" t="b">
        <v>0</v>
      </c>
      <c r="AF16" s="23"/>
      <c r="AG16" s="26"/>
      <c r="AH16" s="23"/>
      <c r="AI16" s="26"/>
      <c r="AJ16" s="23" t="s">
        <v>16</v>
      </c>
      <c r="AK16" s="23"/>
      <c r="AL16" s="26"/>
      <c r="AM16" s="23"/>
      <c r="AN16" s="26"/>
      <c r="AO16" s="23"/>
      <c r="AP16" s="23" t="s">
        <v>11</v>
      </c>
      <c r="AQ16" s="23" t="s">
        <v>17</v>
      </c>
      <c r="AR16" s="26"/>
      <c r="AS16" s="23">
        <v>27537283</v>
      </c>
      <c r="AT16" s="26">
        <v>259431291</v>
      </c>
      <c r="AU16" s="23" t="s">
        <v>13</v>
      </c>
      <c r="AV16" s="23" t="b">
        <v>1</v>
      </c>
      <c r="AW16" s="26" t="s">
        <v>72</v>
      </c>
      <c r="AX16" s="26">
        <v>42205.273611111108</v>
      </c>
      <c r="AY16" s="26" t="s">
        <v>14</v>
      </c>
      <c r="AZ16" s="26">
        <v>42220.113888888889</v>
      </c>
      <c r="BB16" s="9" t="str">
        <f t="shared" si="1"/>
        <v>No</v>
      </c>
      <c r="BC16" s="9" t="str">
        <f>IF(EFB!$N16=Table1[[#This Row],[ProgramTitle]],"Yes","No")</f>
        <v>Yes</v>
      </c>
      <c r="BD16" s="9" t="str">
        <f>IF(EFB!$S16=Table1[[#This Row],[SeriesEpisodeTitle]],"Yes","No")</f>
        <v>Yes</v>
      </c>
      <c r="BE16" s="11">
        <f t="shared" si="2"/>
        <v>4.1666666666666664E-2</v>
      </c>
      <c r="BF16" s="11">
        <f t="shared" si="3"/>
        <v>0</v>
      </c>
      <c r="BH16" s="21">
        <f>Table1[[#This Row],[StartTime]]+$BG$2</f>
        <v>4.1666666666666664E-2</v>
      </c>
    </row>
    <row r="17" spans="1:60" x14ac:dyDescent="0.25">
      <c r="A17" s="16"/>
      <c r="B17" s="2"/>
      <c r="C17" s="17">
        <f t="shared" si="0"/>
        <v>4.1666666666666664E-2</v>
      </c>
      <c r="D17" s="16"/>
      <c r="E17" s="16"/>
      <c r="G17" s="23"/>
      <c r="H17" s="23"/>
      <c r="I17" s="23"/>
      <c r="J17" s="24"/>
      <c r="K17" s="24"/>
      <c r="L17" s="25"/>
      <c r="M17" s="25"/>
      <c r="N17" s="23"/>
      <c r="O17" s="23"/>
      <c r="P17" s="23"/>
      <c r="Q17" s="23"/>
      <c r="R17" s="23"/>
      <c r="S17" s="23"/>
      <c r="T17" s="23"/>
      <c r="U17" s="23" t="s">
        <v>7</v>
      </c>
      <c r="V17" s="23" t="s">
        <v>7</v>
      </c>
      <c r="W17" s="23" t="s">
        <v>7</v>
      </c>
      <c r="X17" s="23" t="s">
        <v>7</v>
      </c>
      <c r="Y17" s="23" t="b">
        <v>0</v>
      </c>
      <c r="Z17" s="23" t="b">
        <v>0</v>
      </c>
      <c r="AA17" s="26" t="s">
        <v>8</v>
      </c>
      <c r="AB17" s="23" t="b">
        <v>0</v>
      </c>
      <c r="AC17" s="26"/>
      <c r="AD17" s="23">
        <v>0</v>
      </c>
      <c r="AE17" s="23" t="b">
        <v>0</v>
      </c>
      <c r="AF17" s="23"/>
      <c r="AG17" s="26"/>
      <c r="AH17" s="23"/>
      <c r="AI17" s="26"/>
      <c r="AJ17" s="23" t="s">
        <v>10</v>
      </c>
      <c r="AK17" s="23"/>
      <c r="AL17" s="26"/>
      <c r="AM17" s="23"/>
      <c r="AN17" s="26"/>
      <c r="AO17" s="23"/>
      <c r="AP17" s="23" t="s">
        <v>11</v>
      </c>
      <c r="AQ17" s="23" t="s">
        <v>17</v>
      </c>
      <c r="AR17" s="26"/>
      <c r="AS17" s="23">
        <v>27569128</v>
      </c>
      <c r="AT17" s="26">
        <v>259431306</v>
      </c>
      <c r="AU17" s="23" t="s">
        <v>13</v>
      </c>
      <c r="AV17" s="23" t="b">
        <v>1</v>
      </c>
      <c r="AW17" s="26" t="s">
        <v>72</v>
      </c>
      <c r="AX17" s="26">
        <v>42205.273611111108</v>
      </c>
      <c r="AY17" s="26" t="s">
        <v>14</v>
      </c>
      <c r="AZ17" s="26">
        <v>42220.113888888889</v>
      </c>
      <c r="BB17" s="9" t="str">
        <f t="shared" si="1"/>
        <v>No</v>
      </c>
      <c r="BC17" s="9" t="str">
        <f>IF(EFB!$N17=Table1[[#This Row],[ProgramTitle]],"Yes","No")</f>
        <v>Yes</v>
      </c>
      <c r="BD17" s="9" t="str">
        <f>IF(EFB!$S17=Table1[[#This Row],[SeriesEpisodeTitle]],"Yes","No")</f>
        <v>Yes</v>
      </c>
      <c r="BE17" s="11">
        <f t="shared" si="2"/>
        <v>4.1666666666666664E-2</v>
      </c>
      <c r="BF17" s="11">
        <f t="shared" si="3"/>
        <v>0</v>
      </c>
      <c r="BH17" s="21">
        <f>Table1[[#This Row],[StartTime]]+$BG$2</f>
        <v>4.1666666666666664E-2</v>
      </c>
    </row>
    <row r="18" spans="1:60" x14ac:dyDescent="0.25">
      <c r="A18" s="16"/>
      <c r="B18" s="2"/>
      <c r="C18" s="17">
        <f t="shared" si="0"/>
        <v>4.1666666666666664E-2</v>
      </c>
      <c r="D18" s="16"/>
      <c r="E18" s="16"/>
      <c r="G18" s="23"/>
      <c r="H18" s="23"/>
      <c r="I18" s="23"/>
      <c r="J18" s="24"/>
      <c r="K18" s="24"/>
      <c r="L18" s="25"/>
      <c r="M18" s="25"/>
      <c r="N18" s="23"/>
      <c r="O18" s="23"/>
      <c r="P18" s="23"/>
      <c r="Q18" s="23"/>
      <c r="R18" s="23"/>
      <c r="S18" s="23"/>
      <c r="T18" s="23"/>
      <c r="U18" s="23" t="s">
        <v>7</v>
      </c>
      <c r="V18" s="23" t="s">
        <v>7</v>
      </c>
      <c r="W18" s="23" t="s">
        <v>7</v>
      </c>
      <c r="X18" s="23" t="s">
        <v>7</v>
      </c>
      <c r="Y18" s="23" t="b">
        <v>0</v>
      </c>
      <c r="Z18" s="23" t="b">
        <v>0</v>
      </c>
      <c r="AA18" s="26" t="s">
        <v>8</v>
      </c>
      <c r="AB18" s="23" t="b">
        <v>0</v>
      </c>
      <c r="AC18" s="26" t="s">
        <v>18</v>
      </c>
      <c r="AD18" s="23">
        <v>0</v>
      </c>
      <c r="AE18" s="23" t="b">
        <v>0</v>
      </c>
      <c r="AF18" s="23"/>
      <c r="AG18" s="26"/>
      <c r="AH18" s="23"/>
      <c r="AI18" s="26"/>
      <c r="AJ18" s="23" t="s">
        <v>16</v>
      </c>
      <c r="AK18" s="23"/>
      <c r="AL18" s="26"/>
      <c r="AM18" s="23"/>
      <c r="AN18" s="26"/>
      <c r="AO18" s="23"/>
      <c r="AP18" s="23" t="s">
        <v>11</v>
      </c>
      <c r="AQ18" s="23" t="s">
        <v>17</v>
      </c>
      <c r="AR18" s="26"/>
      <c r="AS18" s="23">
        <v>27537316</v>
      </c>
      <c r="AT18" s="26">
        <v>259431298</v>
      </c>
      <c r="AU18" s="23" t="s">
        <v>13</v>
      </c>
      <c r="AV18" s="23" t="b">
        <v>1</v>
      </c>
      <c r="AW18" s="26" t="s">
        <v>72</v>
      </c>
      <c r="AX18" s="26">
        <v>42205.273611111108</v>
      </c>
      <c r="AY18" s="26" t="s">
        <v>14</v>
      </c>
      <c r="AZ18" s="26">
        <v>42220.113888888889</v>
      </c>
      <c r="BB18" s="9" t="str">
        <f t="shared" si="1"/>
        <v>No</v>
      </c>
      <c r="BC18" s="9" t="str">
        <f>IF(EFB!$N18=Table1[[#This Row],[ProgramTitle]],"Yes","No")</f>
        <v>Yes</v>
      </c>
      <c r="BD18" s="9" t="str">
        <f>IF(EFB!$S18=Table1[[#This Row],[SeriesEpisodeTitle]],"Yes","No")</f>
        <v>Yes</v>
      </c>
      <c r="BE18" s="11">
        <f t="shared" si="2"/>
        <v>4.1666666666666664E-2</v>
      </c>
      <c r="BF18" s="11">
        <f t="shared" si="3"/>
        <v>0</v>
      </c>
      <c r="BH18" s="21">
        <f>Table1[[#This Row],[StartTime]]+$BG$2</f>
        <v>4.1666666666666664E-2</v>
      </c>
    </row>
    <row r="19" spans="1:60" x14ac:dyDescent="0.25">
      <c r="A19" s="16"/>
      <c r="B19" s="2"/>
      <c r="C19" s="17">
        <f t="shared" si="0"/>
        <v>4.1666666666666664E-2</v>
      </c>
      <c r="D19" s="16"/>
      <c r="E19" s="16"/>
      <c r="G19" s="23"/>
      <c r="H19" s="23"/>
      <c r="I19" s="23"/>
      <c r="J19" s="24"/>
      <c r="K19" s="24"/>
      <c r="L19" s="25"/>
      <c r="M19" s="25"/>
      <c r="N19" s="23"/>
      <c r="O19" s="23"/>
      <c r="P19" s="23"/>
      <c r="Q19" s="23"/>
      <c r="R19" s="23"/>
      <c r="S19" s="23"/>
      <c r="T19" s="23"/>
      <c r="U19" s="23" t="s">
        <v>7</v>
      </c>
      <c r="V19" s="23" t="s">
        <v>7</v>
      </c>
      <c r="W19" s="23" t="s">
        <v>7</v>
      </c>
      <c r="X19" s="23" t="s">
        <v>7</v>
      </c>
      <c r="Y19" s="23" t="b">
        <v>0</v>
      </c>
      <c r="Z19" s="23" t="b">
        <v>0</v>
      </c>
      <c r="AA19" s="26" t="s">
        <v>8</v>
      </c>
      <c r="AB19" s="23" t="b">
        <v>0</v>
      </c>
      <c r="AC19" s="26" t="s">
        <v>18</v>
      </c>
      <c r="AD19" s="23">
        <v>0</v>
      </c>
      <c r="AE19" s="23" t="b">
        <v>0</v>
      </c>
      <c r="AF19" s="23"/>
      <c r="AG19" s="26"/>
      <c r="AH19" s="23"/>
      <c r="AI19" s="26"/>
      <c r="AJ19" s="23" t="s">
        <v>16</v>
      </c>
      <c r="AK19" s="23"/>
      <c r="AL19" s="26"/>
      <c r="AM19" s="23"/>
      <c r="AN19" s="26"/>
      <c r="AO19" s="23"/>
      <c r="AP19" s="23" t="s">
        <v>11</v>
      </c>
      <c r="AQ19" s="23" t="s">
        <v>17</v>
      </c>
      <c r="AR19" s="26"/>
      <c r="AS19" s="23">
        <v>27537317</v>
      </c>
      <c r="AT19" s="26">
        <v>259431299</v>
      </c>
      <c r="AU19" s="23" t="s">
        <v>13</v>
      </c>
      <c r="AV19" s="23" t="b">
        <v>1</v>
      </c>
      <c r="AW19" s="26" t="s">
        <v>72</v>
      </c>
      <c r="AX19" s="26">
        <v>42205.273611111108</v>
      </c>
      <c r="AY19" s="26" t="s">
        <v>14</v>
      </c>
      <c r="AZ19" s="26">
        <v>42220.113888888889</v>
      </c>
      <c r="BB19" s="9" t="str">
        <f t="shared" si="1"/>
        <v>No</v>
      </c>
      <c r="BC19" s="9" t="str">
        <f>IF(EFB!$N19=Table1[[#This Row],[ProgramTitle]],"Yes","No")</f>
        <v>Yes</v>
      </c>
      <c r="BD19" s="9" t="str">
        <f>IF(EFB!$S19=Table1[[#This Row],[SeriesEpisodeTitle]],"Yes","No")</f>
        <v>Yes</v>
      </c>
      <c r="BE19" s="11">
        <f t="shared" si="2"/>
        <v>4.1666666666666664E-2</v>
      </c>
      <c r="BF19" s="11">
        <f t="shared" si="3"/>
        <v>0</v>
      </c>
      <c r="BH19" s="21">
        <f>Table1[[#This Row],[StartTime]]+$BG$2</f>
        <v>4.1666666666666664E-2</v>
      </c>
    </row>
    <row r="20" spans="1:60" x14ac:dyDescent="0.25">
      <c r="A20" s="16"/>
      <c r="B20" s="2"/>
      <c r="C20" s="17">
        <f t="shared" si="0"/>
        <v>4.1666666666666664E-2</v>
      </c>
      <c r="D20" s="16"/>
      <c r="E20" s="16"/>
      <c r="G20" s="23"/>
      <c r="H20" s="23"/>
      <c r="I20" s="23"/>
      <c r="J20" s="24"/>
      <c r="K20" s="24"/>
      <c r="L20" s="25"/>
      <c r="M20" s="25"/>
      <c r="N20" s="23"/>
      <c r="O20" s="23"/>
      <c r="P20" s="23"/>
      <c r="Q20" s="23"/>
      <c r="R20" s="23"/>
      <c r="S20" s="23"/>
      <c r="T20" s="23"/>
      <c r="U20" s="23" t="s">
        <v>7</v>
      </c>
      <c r="V20" s="23" t="s">
        <v>7</v>
      </c>
      <c r="W20" s="23" t="s">
        <v>7</v>
      </c>
      <c r="X20" s="23" t="s">
        <v>7</v>
      </c>
      <c r="Y20" s="23" t="b">
        <v>0</v>
      </c>
      <c r="Z20" s="23" t="b">
        <v>0</v>
      </c>
      <c r="AA20" s="26" t="s">
        <v>8</v>
      </c>
      <c r="AB20" s="23" t="b">
        <v>0</v>
      </c>
      <c r="AC20" s="26" t="s">
        <v>15</v>
      </c>
      <c r="AD20" s="23">
        <v>0</v>
      </c>
      <c r="AE20" s="23" t="b">
        <v>0</v>
      </c>
      <c r="AF20" s="23"/>
      <c r="AG20" s="26"/>
      <c r="AH20" s="23"/>
      <c r="AI20" s="26"/>
      <c r="AJ20" s="23" t="s">
        <v>10</v>
      </c>
      <c r="AK20" s="23"/>
      <c r="AL20" s="26"/>
      <c r="AM20" s="23"/>
      <c r="AN20" s="26"/>
      <c r="AO20" s="23"/>
      <c r="AP20" s="23" t="s">
        <v>11</v>
      </c>
      <c r="AQ20" s="23" t="s">
        <v>17</v>
      </c>
      <c r="AR20" s="26"/>
      <c r="AS20" s="23">
        <v>15340174</v>
      </c>
      <c r="AT20" s="26">
        <v>259431234</v>
      </c>
      <c r="AU20" s="23" t="s">
        <v>13</v>
      </c>
      <c r="AV20" s="23" t="b">
        <v>1</v>
      </c>
      <c r="AW20" s="26" t="s">
        <v>72</v>
      </c>
      <c r="AX20" s="26">
        <v>42205.273611111108</v>
      </c>
      <c r="AY20" s="26" t="s">
        <v>14</v>
      </c>
      <c r="AZ20" s="26">
        <v>42220.113888888889</v>
      </c>
      <c r="BB20" s="9" t="str">
        <f t="shared" si="1"/>
        <v>No</v>
      </c>
      <c r="BC20" s="9" t="str">
        <f>IF(EFB!$N20=Table1[[#This Row],[ProgramTitle]],"Yes","No")</f>
        <v>Yes</v>
      </c>
      <c r="BD20" s="9" t="str">
        <f>IF(EFB!$S20=Table1[[#This Row],[SeriesEpisodeTitle]],"Yes","No")</f>
        <v>Yes</v>
      </c>
      <c r="BE20" s="11">
        <f t="shared" si="2"/>
        <v>4.1666666666666664E-2</v>
      </c>
      <c r="BF20" s="11">
        <f t="shared" si="3"/>
        <v>0</v>
      </c>
      <c r="BH20" s="21">
        <f>Table1[[#This Row],[StartTime]]+$BG$2</f>
        <v>4.1666666666666664E-2</v>
      </c>
    </row>
    <row r="21" spans="1:60" x14ac:dyDescent="0.25">
      <c r="A21" s="16"/>
      <c r="B21" s="2"/>
      <c r="C21" s="17">
        <f t="shared" si="0"/>
        <v>4.1666666666666664E-2</v>
      </c>
      <c r="D21" s="16"/>
      <c r="E21" s="16"/>
      <c r="G21" s="23"/>
      <c r="H21" s="23"/>
      <c r="I21" s="23"/>
      <c r="J21" s="24"/>
      <c r="K21" s="24"/>
      <c r="L21" s="25"/>
      <c r="M21" s="25"/>
      <c r="N21" s="23"/>
      <c r="O21" s="23"/>
      <c r="P21" s="23"/>
      <c r="Q21" s="23"/>
      <c r="R21" s="23"/>
      <c r="S21" s="23"/>
      <c r="T21" s="23"/>
      <c r="U21" s="23" t="s">
        <v>7</v>
      </c>
      <c r="V21" s="23" t="s">
        <v>7</v>
      </c>
      <c r="W21" s="23" t="s">
        <v>7</v>
      </c>
      <c r="X21" s="23" t="s">
        <v>7</v>
      </c>
      <c r="Y21" s="23" t="b">
        <v>0</v>
      </c>
      <c r="Z21" s="23" t="b">
        <v>0</v>
      </c>
      <c r="AA21" s="26" t="s">
        <v>8</v>
      </c>
      <c r="AB21" s="23" t="b">
        <v>0</v>
      </c>
      <c r="AC21" s="26" t="s">
        <v>70</v>
      </c>
      <c r="AD21" s="23">
        <v>0</v>
      </c>
      <c r="AE21" s="23" t="b">
        <v>0</v>
      </c>
      <c r="AF21" s="23"/>
      <c r="AG21" s="26"/>
      <c r="AH21" s="23"/>
      <c r="AI21" s="26"/>
      <c r="AJ21" s="23" t="s">
        <v>16</v>
      </c>
      <c r="AK21" s="23"/>
      <c r="AL21" s="26"/>
      <c r="AM21" s="23"/>
      <c r="AN21" s="26"/>
      <c r="AO21" s="23"/>
      <c r="AP21" s="23" t="s">
        <v>11</v>
      </c>
      <c r="AQ21" s="23" t="s">
        <v>17</v>
      </c>
      <c r="AR21" s="26"/>
      <c r="AS21" s="23">
        <v>17359081</v>
      </c>
      <c r="AT21" s="26">
        <v>259431244</v>
      </c>
      <c r="AU21" s="23" t="s">
        <v>13</v>
      </c>
      <c r="AV21" s="23" t="b">
        <v>1</v>
      </c>
      <c r="AW21" s="26" t="s">
        <v>72</v>
      </c>
      <c r="AX21" s="26">
        <v>42205.273611111108</v>
      </c>
      <c r="AY21" s="26" t="s">
        <v>14</v>
      </c>
      <c r="AZ21" s="26">
        <v>42220.113888888889</v>
      </c>
      <c r="BB21" s="9" t="str">
        <f t="shared" si="1"/>
        <v>No</v>
      </c>
      <c r="BC21" s="9" t="str">
        <f>IF(EFB!$N21=Table1[[#This Row],[ProgramTitle]],"Yes","No")</f>
        <v>Yes</v>
      </c>
      <c r="BD21" s="9" t="str">
        <f>IF(EFB!$S21=Table1[[#This Row],[SeriesEpisodeTitle]],"Yes","No")</f>
        <v>Yes</v>
      </c>
      <c r="BE21" s="11">
        <f t="shared" si="2"/>
        <v>4.1666666666666664E-2</v>
      </c>
      <c r="BF21" s="11">
        <f t="shared" si="3"/>
        <v>0</v>
      </c>
      <c r="BH21" s="21">
        <f>Table1[[#This Row],[StartTime]]+$BG$2</f>
        <v>4.1666666666666664E-2</v>
      </c>
    </row>
    <row r="22" spans="1:60" x14ac:dyDescent="0.25">
      <c r="A22" s="16"/>
      <c r="B22" s="2"/>
      <c r="C22" s="17">
        <f t="shared" si="0"/>
        <v>4.1666666666666664E-2</v>
      </c>
      <c r="D22" s="16"/>
      <c r="E22" s="16"/>
      <c r="G22" s="23"/>
      <c r="H22" s="23"/>
      <c r="I22" s="23"/>
      <c r="J22" s="24"/>
      <c r="K22" s="24"/>
      <c r="L22" s="25"/>
      <c r="M22" s="25"/>
      <c r="N22" s="23"/>
      <c r="O22" s="23"/>
      <c r="P22" s="23"/>
      <c r="Q22" s="23"/>
      <c r="R22" s="23"/>
      <c r="S22" s="23"/>
      <c r="T22" s="23"/>
      <c r="U22" s="23" t="s">
        <v>7</v>
      </c>
      <c r="V22" s="23" t="s">
        <v>7</v>
      </c>
      <c r="W22" s="23" t="s">
        <v>7</v>
      </c>
      <c r="X22" s="23" t="s">
        <v>7</v>
      </c>
      <c r="Y22" s="23" t="b">
        <v>0</v>
      </c>
      <c r="Z22" s="23" t="b">
        <v>0</v>
      </c>
      <c r="AA22" s="26" t="s">
        <v>8</v>
      </c>
      <c r="AB22" s="23" t="b">
        <v>0</v>
      </c>
      <c r="AC22" s="26"/>
      <c r="AD22" s="23">
        <v>0</v>
      </c>
      <c r="AE22" s="23" t="b">
        <v>0</v>
      </c>
      <c r="AF22" s="23"/>
      <c r="AG22" s="26"/>
      <c r="AH22" s="23"/>
      <c r="AI22" s="26"/>
      <c r="AJ22" s="23" t="s">
        <v>10</v>
      </c>
      <c r="AK22" s="23"/>
      <c r="AL22" s="26"/>
      <c r="AM22" s="23"/>
      <c r="AN22" s="26"/>
      <c r="AO22" s="23"/>
      <c r="AP22" s="23" t="s">
        <v>11</v>
      </c>
      <c r="AQ22" s="23" t="s">
        <v>17</v>
      </c>
      <c r="AR22" s="26"/>
      <c r="AS22" s="23">
        <v>20847475</v>
      </c>
      <c r="AT22" s="26">
        <v>259431264</v>
      </c>
      <c r="AU22" s="23" t="s">
        <v>13</v>
      </c>
      <c r="AV22" s="23" t="b">
        <v>1</v>
      </c>
      <c r="AW22" s="26" t="s">
        <v>72</v>
      </c>
      <c r="AX22" s="26">
        <v>42205.273611111108</v>
      </c>
      <c r="AY22" s="26" t="s">
        <v>14</v>
      </c>
      <c r="AZ22" s="26">
        <v>42220.113888888889</v>
      </c>
      <c r="BB22" s="9" t="str">
        <f t="shared" si="1"/>
        <v>No</v>
      </c>
      <c r="BC22" s="9" t="str">
        <f>IF(EFB!$N22=Table1[[#This Row],[ProgramTitle]],"Yes","No")</f>
        <v>Yes</v>
      </c>
      <c r="BD22" s="9" t="str">
        <f>IF(EFB!$S22=Table1[[#This Row],[SeriesEpisodeTitle]],"Yes","No")</f>
        <v>Yes</v>
      </c>
      <c r="BE22" s="11">
        <f t="shared" si="2"/>
        <v>4.1666666666666664E-2</v>
      </c>
      <c r="BF22" s="11">
        <f t="shared" si="3"/>
        <v>0</v>
      </c>
      <c r="BH22" s="21">
        <f>Table1[[#This Row],[StartTime]]+$BG$2</f>
        <v>4.1666666666666664E-2</v>
      </c>
    </row>
    <row r="23" spans="1:60" x14ac:dyDescent="0.25">
      <c r="A23" s="16"/>
      <c r="B23" s="2"/>
      <c r="C23" s="17">
        <f t="shared" si="0"/>
        <v>4.1666666666666664E-2</v>
      </c>
      <c r="D23" s="16"/>
      <c r="E23" s="16"/>
      <c r="G23" s="23"/>
      <c r="H23" s="23"/>
      <c r="I23" s="23"/>
      <c r="J23" s="24"/>
      <c r="K23" s="24"/>
      <c r="L23" s="25"/>
      <c r="M23" s="25"/>
      <c r="N23" s="23"/>
      <c r="O23" s="23"/>
      <c r="P23" s="23"/>
      <c r="Q23" s="23"/>
      <c r="R23" s="23"/>
      <c r="S23" s="23"/>
      <c r="T23" s="23"/>
      <c r="U23" s="23" t="s">
        <v>7</v>
      </c>
      <c r="V23" s="23" t="s">
        <v>7</v>
      </c>
      <c r="W23" s="23" t="s">
        <v>7</v>
      </c>
      <c r="X23" s="23" t="s">
        <v>7</v>
      </c>
      <c r="Y23" s="23" t="b">
        <v>0</v>
      </c>
      <c r="Z23" s="23" t="b">
        <v>0</v>
      </c>
      <c r="AA23" s="26" t="s">
        <v>8</v>
      </c>
      <c r="AB23" s="23" t="b">
        <v>0</v>
      </c>
      <c r="AC23" s="26" t="s">
        <v>9</v>
      </c>
      <c r="AD23" s="23">
        <v>0</v>
      </c>
      <c r="AE23" s="23" t="b">
        <v>0</v>
      </c>
      <c r="AF23" s="23"/>
      <c r="AG23" s="26"/>
      <c r="AH23" s="23"/>
      <c r="AI23" s="26"/>
      <c r="AJ23" s="23" t="s">
        <v>10</v>
      </c>
      <c r="AK23" s="23"/>
      <c r="AL23" s="26"/>
      <c r="AM23" s="23"/>
      <c r="AN23" s="26"/>
      <c r="AO23" s="23"/>
      <c r="AP23" s="23" t="s">
        <v>11</v>
      </c>
      <c r="AQ23" s="23" t="s">
        <v>12</v>
      </c>
      <c r="AR23" s="26"/>
      <c r="AS23" s="23">
        <v>22808296</v>
      </c>
      <c r="AT23" s="26">
        <v>259431272</v>
      </c>
      <c r="AU23" s="23" t="s">
        <v>13</v>
      </c>
      <c r="AV23" s="23" t="b">
        <v>1</v>
      </c>
      <c r="AW23" s="26" t="s">
        <v>71</v>
      </c>
      <c r="AX23" s="26">
        <v>42205.286111111112</v>
      </c>
      <c r="AY23" s="26" t="s">
        <v>71</v>
      </c>
      <c r="AZ23" s="26">
        <v>42205.286111111112</v>
      </c>
      <c r="BB23" s="9" t="str">
        <f t="shared" si="1"/>
        <v>No</v>
      </c>
      <c r="BC23" s="9" t="str">
        <f>IF(EFB!$N23=Table1[[#This Row],[ProgramTitle]],"Yes","No")</f>
        <v>Yes</v>
      </c>
      <c r="BD23" s="9" t="str">
        <f>IF(EFB!$S23=Table1[[#This Row],[SeriesEpisodeTitle]],"Yes","No")</f>
        <v>Yes</v>
      </c>
      <c r="BE23" s="11">
        <f t="shared" si="2"/>
        <v>4.1666666666666664E-2</v>
      </c>
      <c r="BF23" s="11">
        <f t="shared" si="3"/>
        <v>0</v>
      </c>
      <c r="BH23" s="21">
        <f>Table1[[#This Row],[StartTime]]+$BG$2</f>
        <v>4.1666666666666664E-2</v>
      </c>
    </row>
    <row r="24" spans="1:60" x14ac:dyDescent="0.25">
      <c r="A24" s="16"/>
      <c r="B24" s="2"/>
      <c r="C24" s="17">
        <f t="shared" si="0"/>
        <v>4.1666666666666664E-2</v>
      </c>
      <c r="D24" s="16"/>
      <c r="E24" s="16"/>
      <c r="G24" s="23"/>
      <c r="H24" s="23"/>
      <c r="I24" s="23"/>
      <c r="J24" s="24"/>
      <c r="K24" s="24"/>
      <c r="L24" s="25"/>
      <c r="M24" s="25"/>
      <c r="N24" s="23"/>
      <c r="O24" s="23"/>
      <c r="P24" s="23"/>
      <c r="Q24" s="23"/>
      <c r="R24" s="23"/>
      <c r="S24" s="23"/>
      <c r="T24" s="23"/>
      <c r="U24" s="23" t="s">
        <v>7</v>
      </c>
      <c r="V24" s="23" t="s">
        <v>7</v>
      </c>
      <c r="W24" s="23" t="s">
        <v>7</v>
      </c>
      <c r="X24" s="23" t="s">
        <v>7</v>
      </c>
      <c r="Y24" s="23" t="b">
        <v>0</v>
      </c>
      <c r="Z24" s="23" t="b">
        <v>0</v>
      </c>
      <c r="AA24" s="26" t="s">
        <v>8</v>
      </c>
      <c r="AB24" s="23" t="b">
        <v>0</v>
      </c>
      <c r="AC24" s="26" t="s">
        <v>15</v>
      </c>
      <c r="AD24" s="23">
        <v>0</v>
      </c>
      <c r="AE24" s="23" t="b">
        <v>0</v>
      </c>
      <c r="AF24" s="23"/>
      <c r="AG24" s="26"/>
      <c r="AH24" s="23"/>
      <c r="AI24" s="26"/>
      <c r="AJ24" s="23" t="s">
        <v>10</v>
      </c>
      <c r="AK24" s="23"/>
      <c r="AL24" s="26"/>
      <c r="AM24" s="23"/>
      <c r="AN24" s="26"/>
      <c r="AO24" s="23"/>
      <c r="AP24" s="23" t="s">
        <v>11</v>
      </c>
      <c r="AQ24" s="23" t="s">
        <v>17</v>
      </c>
      <c r="AR24" s="26"/>
      <c r="AS24" s="23">
        <v>15340174</v>
      </c>
      <c r="AT24" s="26">
        <v>259478648</v>
      </c>
      <c r="AU24" s="23" t="s">
        <v>13</v>
      </c>
      <c r="AV24" s="23" t="b">
        <v>1</v>
      </c>
      <c r="AW24" s="26" t="s">
        <v>72</v>
      </c>
      <c r="AX24" s="26">
        <v>42205.273611111108</v>
      </c>
      <c r="AY24" s="26" t="s">
        <v>72</v>
      </c>
      <c r="AZ24" s="26">
        <v>42205.273611111108</v>
      </c>
      <c r="BB24" s="9" t="str">
        <f t="shared" si="1"/>
        <v>No</v>
      </c>
      <c r="BC24" s="9" t="str">
        <f>IF(EFB!$N24=Table1[[#This Row],[ProgramTitle]],"Yes","No")</f>
        <v>Yes</v>
      </c>
      <c r="BD24" s="9" t="str">
        <f>IF(EFB!$S24=Table1[[#This Row],[SeriesEpisodeTitle]],"Yes","No")</f>
        <v>Yes</v>
      </c>
      <c r="BE24" s="11">
        <f t="shared" si="2"/>
        <v>4.1666666666666664E-2</v>
      </c>
      <c r="BF24" s="11">
        <f t="shared" si="3"/>
        <v>0</v>
      </c>
      <c r="BH24" s="21">
        <f>Table1[[#This Row],[StartTime]]+$BG$2</f>
        <v>4.1666666666666664E-2</v>
      </c>
    </row>
    <row r="25" spans="1:60" x14ac:dyDescent="0.25">
      <c r="A25" s="16"/>
      <c r="B25" s="2"/>
      <c r="C25" s="17">
        <f t="shared" si="0"/>
        <v>4.1666666666666664E-2</v>
      </c>
      <c r="D25" s="16"/>
      <c r="E25" s="16"/>
      <c r="G25" s="23"/>
      <c r="H25" s="23"/>
      <c r="I25" s="23"/>
      <c r="J25" s="24"/>
      <c r="K25" s="24"/>
      <c r="L25" s="25"/>
      <c r="M25" s="25"/>
      <c r="N25" s="23"/>
      <c r="O25" s="23"/>
      <c r="P25" s="23"/>
      <c r="Q25" s="23"/>
      <c r="R25" s="23"/>
      <c r="S25" s="23"/>
      <c r="T25" s="23"/>
      <c r="U25" s="23" t="s">
        <v>7</v>
      </c>
      <c r="V25" s="23" t="s">
        <v>7</v>
      </c>
      <c r="W25" s="23" t="s">
        <v>7</v>
      </c>
      <c r="X25" s="23" t="s">
        <v>7</v>
      </c>
      <c r="Y25" s="23" t="b">
        <v>0</v>
      </c>
      <c r="Z25" s="23" t="b">
        <v>0</v>
      </c>
      <c r="AA25" s="26" t="s">
        <v>8</v>
      </c>
      <c r="AB25" s="23" t="b">
        <v>0</v>
      </c>
      <c r="AC25" s="26" t="s">
        <v>73</v>
      </c>
      <c r="AD25" s="23">
        <v>0</v>
      </c>
      <c r="AE25" s="23" t="b">
        <v>0</v>
      </c>
      <c r="AF25" s="23"/>
      <c r="AG25" s="26"/>
      <c r="AH25" s="23"/>
      <c r="AI25" s="26"/>
      <c r="AJ25" s="23" t="s">
        <v>16</v>
      </c>
      <c r="AK25" s="23"/>
      <c r="AL25" s="26"/>
      <c r="AM25" s="23"/>
      <c r="AN25" s="26"/>
      <c r="AO25" s="23"/>
      <c r="AP25" s="23" t="s">
        <v>11</v>
      </c>
      <c r="AQ25" s="23" t="s">
        <v>17</v>
      </c>
      <c r="AR25" s="26"/>
      <c r="AS25" s="23">
        <v>27580034</v>
      </c>
      <c r="AT25" s="26">
        <v>259478865</v>
      </c>
      <c r="AU25" s="23" t="s">
        <v>13</v>
      </c>
      <c r="AV25" s="23" t="b">
        <v>1</v>
      </c>
      <c r="AW25" s="26" t="s">
        <v>72</v>
      </c>
      <c r="AX25" s="26">
        <v>42205.273611111108</v>
      </c>
      <c r="AY25" s="26" t="s">
        <v>72</v>
      </c>
      <c r="AZ25" s="26">
        <v>42205.273611111108</v>
      </c>
      <c r="BB25" s="9" t="str">
        <f t="shared" si="1"/>
        <v>No</v>
      </c>
      <c r="BC25" s="9" t="str">
        <f>IF(EFB!$N25=Table1[[#This Row],[ProgramTitle]],"Yes","No")</f>
        <v>Yes</v>
      </c>
      <c r="BD25" s="9" t="str">
        <f>IF(EFB!$S25=Table1[[#This Row],[SeriesEpisodeTitle]],"Yes","No")</f>
        <v>Yes</v>
      </c>
      <c r="BE25" s="11">
        <f t="shared" si="2"/>
        <v>4.1666666666666664E-2</v>
      </c>
      <c r="BF25" s="11">
        <f t="shared" si="3"/>
        <v>0</v>
      </c>
      <c r="BH25" s="21">
        <f>Table1[[#This Row],[StartTime]]+$BG$2</f>
        <v>4.1666666666666664E-2</v>
      </c>
    </row>
    <row r="26" spans="1:60" x14ac:dyDescent="0.25">
      <c r="A26" s="16"/>
      <c r="B26" s="2"/>
      <c r="C26" s="17">
        <f t="shared" si="0"/>
        <v>4.1666666666666664E-2</v>
      </c>
      <c r="D26" s="16"/>
      <c r="E26" s="16"/>
      <c r="G26" s="23"/>
      <c r="H26" s="23"/>
      <c r="I26" s="23"/>
      <c r="J26" s="24"/>
      <c r="K26" s="24"/>
      <c r="L26" s="25"/>
      <c r="M26" s="25"/>
      <c r="N26" s="23"/>
      <c r="O26" s="23"/>
      <c r="P26" s="23"/>
      <c r="Q26" s="23"/>
      <c r="R26" s="23"/>
      <c r="S26" s="23"/>
      <c r="T26" s="23"/>
      <c r="U26" s="23" t="s">
        <v>7</v>
      </c>
      <c r="V26" s="23" t="s">
        <v>7</v>
      </c>
      <c r="W26" s="23" t="s">
        <v>7</v>
      </c>
      <c r="X26" s="23" t="s">
        <v>7</v>
      </c>
      <c r="Y26" s="23" t="b">
        <v>0</v>
      </c>
      <c r="Z26" s="23" t="b">
        <v>0</v>
      </c>
      <c r="AA26" s="26" t="s">
        <v>8</v>
      </c>
      <c r="AB26" s="23" t="b">
        <v>0</v>
      </c>
      <c r="AC26" s="26"/>
      <c r="AD26" s="23">
        <v>0</v>
      </c>
      <c r="AE26" s="23" t="b">
        <v>0</v>
      </c>
      <c r="AF26" s="23"/>
      <c r="AG26" s="26"/>
      <c r="AH26" s="23"/>
      <c r="AI26" s="26"/>
      <c r="AJ26" s="23" t="s">
        <v>10</v>
      </c>
      <c r="AK26" s="23"/>
      <c r="AL26" s="26"/>
      <c r="AM26" s="23"/>
      <c r="AN26" s="26"/>
      <c r="AO26" s="23"/>
      <c r="AP26" s="23" t="s">
        <v>11</v>
      </c>
      <c r="AQ26" s="23" t="s">
        <v>17</v>
      </c>
      <c r="AR26" s="26"/>
      <c r="AS26" s="23">
        <v>27569128</v>
      </c>
      <c r="AT26" s="26">
        <v>259478827</v>
      </c>
      <c r="AU26" s="23" t="s">
        <v>13</v>
      </c>
      <c r="AV26" s="23" t="b">
        <v>1</v>
      </c>
      <c r="AW26" s="26" t="s">
        <v>72</v>
      </c>
      <c r="AX26" s="26">
        <v>42205.273611111108</v>
      </c>
      <c r="AY26" s="26" t="s">
        <v>72</v>
      </c>
      <c r="AZ26" s="26">
        <v>42205.273611111108</v>
      </c>
      <c r="BB26" s="9" t="str">
        <f t="shared" si="1"/>
        <v>No</v>
      </c>
      <c r="BC26" s="9" t="str">
        <f>IF(EFB!$N26=Table1[[#This Row],[ProgramTitle]],"Yes","No")</f>
        <v>Yes</v>
      </c>
      <c r="BD26" s="9" t="str">
        <f>IF(EFB!$S26=Table1[[#This Row],[SeriesEpisodeTitle]],"Yes","No")</f>
        <v>Yes</v>
      </c>
      <c r="BE26" s="11">
        <f t="shared" si="2"/>
        <v>4.1666666666666664E-2</v>
      </c>
      <c r="BF26" s="11">
        <f t="shared" si="3"/>
        <v>0</v>
      </c>
      <c r="BH26" s="21">
        <f>Table1[[#This Row],[StartTime]]+$BG$2</f>
        <v>4.1666666666666664E-2</v>
      </c>
    </row>
    <row r="27" spans="1:60" x14ac:dyDescent="0.25">
      <c r="A27" s="16"/>
      <c r="B27" s="2"/>
      <c r="C27" s="17">
        <f t="shared" si="0"/>
        <v>4.1666666666666664E-2</v>
      </c>
      <c r="D27" s="16"/>
      <c r="E27" s="16"/>
      <c r="G27" s="23"/>
      <c r="H27" s="23"/>
      <c r="I27" s="23"/>
      <c r="J27" s="24"/>
      <c r="K27" s="24"/>
      <c r="L27" s="25"/>
      <c r="M27" s="25"/>
      <c r="N27" s="23"/>
      <c r="O27" s="23"/>
      <c r="P27" s="23"/>
      <c r="Q27" s="23"/>
      <c r="R27" s="23"/>
      <c r="S27" s="23"/>
      <c r="T27" s="23"/>
      <c r="U27" s="23" t="s">
        <v>7</v>
      </c>
      <c r="V27" s="23" t="s">
        <v>7</v>
      </c>
      <c r="W27" s="23" t="s">
        <v>7</v>
      </c>
      <c r="X27" s="23" t="s">
        <v>7</v>
      </c>
      <c r="Y27" s="23" t="b">
        <v>0</v>
      </c>
      <c r="Z27" s="23" t="b">
        <v>0</v>
      </c>
      <c r="AA27" s="26" t="s">
        <v>8</v>
      </c>
      <c r="AB27" s="23" t="b">
        <v>0</v>
      </c>
      <c r="AC27" s="26" t="s">
        <v>18</v>
      </c>
      <c r="AD27" s="23">
        <v>0</v>
      </c>
      <c r="AE27" s="23" t="b">
        <v>0</v>
      </c>
      <c r="AF27" s="23"/>
      <c r="AG27" s="26"/>
      <c r="AH27" s="23"/>
      <c r="AI27" s="26"/>
      <c r="AJ27" s="23" t="s">
        <v>16</v>
      </c>
      <c r="AK27" s="23"/>
      <c r="AL27" s="26"/>
      <c r="AM27" s="23"/>
      <c r="AN27" s="26"/>
      <c r="AO27" s="23"/>
      <c r="AP27" s="23" t="s">
        <v>11</v>
      </c>
      <c r="AQ27" s="23" t="s">
        <v>17</v>
      </c>
      <c r="AR27" s="26"/>
      <c r="AS27" s="23">
        <v>27537316</v>
      </c>
      <c r="AT27" s="26">
        <v>259478823</v>
      </c>
      <c r="AU27" s="23" t="s">
        <v>13</v>
      </c>
      <c r="AV27" s="23" t="b">
        <v>1</v>
      </c>
      <c r="AW27" s="26" t="s">
        <v>72</v>
      </c>
      <c r="AX27" s="26">
        <v>42205.273611111108</v>
      </c>
      <c r="AY27" s="26" t="s">
        <v>72</v>
      </c>
      <c r="AZ27" s="26">
        <v>42205.273611111108</v>
      </c>
      <c r="BB27" s="9" t="str">
        <f t="shared" si="1"/>
        <v>No</v>
      </c>
      <c r="BC27" s="9" t="str">
        <f>IF(EFB!$N27=Table1[[#This Row],[ProgramTitle]],"Yes","No")</f>
        <v>Yes</v>
      </c>
      <c r="BD27" s="9" t="str">
        <f>IF(EFB!$S27=Table1[[#This Row],[SeriesEpisodeTitle]],"Yes","No")</f>
        <v>Yes</v>
      </c>
      <c r="BE27" s="11">
        <f t="shared" si="2"/>
        <v>4.1666666666666664E-2</v>
      </c>
      <c r="BF27" s="11">
        <f t="shared" si="3"/>
        <v>0</v>
      </c>
      <c r="BH27" s="21">
        <f>Table1[[#This Row],[StartTime]]+$BG$2</f>
        <v>4.1666666666666664E-2</v>
      </c>
    </row>
    <row r="28" spans="1:60" x14ac:dyDescent="0.25">
      <c r="A28" s="16"/>
      <c r="B28" s="2"/>
      <c r="C28" s="17">
        <f t="shared" si="0"/>
        <v>4.1666666666666664E-2</v>
      </c>
      <c r="D28" s="16"/>
      <c r="E28" s="16"/>
      <c r="G28" s="23"/>
      <c r="H28" s="23"/>
      <c r="I28" s="23"/>
      <c r="J28" s="24"/>
      <c r="K28" s="24"/>
      <c r="L28" s="25"/>
      <c r="M28" s="25"/>
      <c r="N28" s="23"/>
      <c r="O28" s="23"/>
      <c r="P28" s="23"/>
      <c r="Q28" s="23"/>
      <c r="R28" s="23"/>
      <c r="S28" s="23"/>
      <c r="T28" s="23"/>
      <c r="U28" s="23" t="s">
        <v>7</v>
      </c>
      <c r="V28" s="23" t="s">
        <v>7</v>
      </c>
      <c r="W28" s="23" t="s">
        <v>7</v>
      </c>
      <c r="X28" s="23" t="s">
        <v>7</v>
      </c>
      <c r="Y28" s="23" t="b">
        <v>0</v>
      </c>
      <c r="Z28" s="23" t="b">
        <v>0</v>
      </c>
      <c r="AA28" s="26" t="s">
        <v>8</v>
      </c>
      <c r="AB28" s="23" t="b">
        <v>0</v>
      </c>
      <c r="AC28" s="26" t="s">
        <v>18</v>
      </c>
      <c r="AD28" s="23">
        <v>0</v>
      </c>
      <c r="AE28" s="23" t="b">
        <v>0</v>
      </c>
      <c r="AF28" s="23"/>
      <c r="AG28" s="26"/>
      <c r="AH28" s="23"/>
      <c r="AI28" s="26"/>
      <c r="AJ28" s="23" t="s">
        <v>16</v>
      </c>
      <c r="AK28" s="23"/>
      <c r="AL28" s="26"/>
      <c r="AM28" s="23"/>
      <c r="AN28" s="26"/>
      <c r="AO28" s="23"/>
      <c r="AP28" s="23" t="s">
        <v>11</v>
      </c>
      <c r="AQ28" s="23" t="s">
        <v>17</v>
      </c>
      <c r="AR28" s="26"/>
      <c r="AS28" s="23">
        <v>27537317</v>
      </c>
      <c r="AT28" s="26">
        <v>259478824</v>
      </c>
      <c r="AU28" s="23" t="s">
        <v>13</v>
      </c>
      <c r="AV28" s="23" t="b">
        <v>1</v>
      </c>
      <c r="AW28" s="26" t="s">
        <v>72</v>
      </c>
      <c r="AX28" s="26">
        <v>42205.273611111108</v>
      </c>
      <c r="AY28" s="26" t="s">
        <v>72</v>
      </c>
      <c r="AZ28" s="26">
        <v>42205.273611111108</v>
      </c>
      <c r="BB28" s="9" t="str">
        <f t="shared" si="1"/>
        <v>No</v>
      </c>
      <c r="BC28" s="9" t="str">
        <f>IF(EFB!$N28=Table1[[#This Row],[ProgramTitle]],"Yes","No")</f>
        <v>Yes</v>
      </c>
      <c r="BD28" s="9" t="str">
        <f>IF(EFB!$S28=Table1[[#This Row],[SeriesEpisodeTitle]],"Yes","No")</f>
        <v>Yes</v>
      </c>
      <c r="BE28" s="11">
        <f t="shared" si="2"/>
        <v>4.1666666666666664E-2</v>
      </c>
      <c r="BF28" s="11">
        <f t="shared" si="3"/>
        <v>0</v>
      </c>
      <c r="BH28" s="21">
        <f>Table1[[#This Row],[StartTime]]+$BG$2</f>
        <v>4.1666666666666664E-2</v>
      </c>
    </row>
    <row r="29" spans="1:60" x14ac:dyDescent="0.25">
      <c r="A29" s="16"/>
      <c r="B29" s="2"/>
      <c r="C29" s="17">
        <f t="shared" si="0"/>
        <v>4.1666666666666664E-2</v>
      </c>
      <c r="D29" s="16"/>
      <c r="E29" s="16"/>
      <c r="G29" s="23"/>
      <c r="H29" s="23"/>
      <c r="I29" s="23"/>
      <c r="J29" s="24"/>
      <c r="K29" s="24"/>
      <c r="L29" s="25"/>
      <c r="M29" s="25"/>
      <c r="N29" s="23"/>
      <c r="O29" s="23"/>
      <c r="P29" s="23"/>
      <c r="Q29" s="23"/>
      <c r="R29" s="23"/>
      <c r="S29" s="23"/>
      <c r="T29" s="23"/>
      <c r="U29" s="23" t="s">
        <v>7</v>
      </c>
      <c r="V29" s="23" t="s">
        <v>7</v>
      </c>
      <c r="W29" s="23" t="s">
        <v>7</v>
      </c>
      <c r="X29" s="23" t="s">
        <v>7</v>
      </c>
      <c r="Y29" s="23" t="b">
        <v>0</v>
      </c>
      <c r="Z29" s="23" t="b">
        <v>0</v>
      </c>
      <c r="AA29" s="26" t="s">
        <v>8</v>
      </c>
      <c r="AB29" s="23" t="b">
        <v>0</v>
      </c>
      <c r="AC29" s="26" t="s">
        <v>15</v>
      </c>
      <c r="AD29" s="23">
        <v>0</v>
      </c>
      <c r="AE29" s="23" t="b">
        <v>0</v>
      </c>
      <c r="AF29" s="23"/>
      <c r="AG29" s="26"/>
      <c r="AH29" s="23"/>
      <c r="AI29" s="26"/>
      <c r="AJ29" s="23" t="s">
        <v>16</v>
      </c>
      <c r="AK29" s="23"/>
      <c r="AL29" s="26"/>
      <c r="AM29" s="23"/>
      <c r="AN29" s="26"/>
      <c r="AO29" s="23"/>
      <c r="AP29" s="23" t="s">
        <v>11</v>
      </c>
      <c r="AQ29" s="23" t="s">
        <v>17</v>
      </c>
      <c r="AR29" s="26"/>
      <c r="AS29" s="23">
        <v>22642711</v>
      </c>
      <c r="AT29" s="26">
        <v>259478778</v>
      </c>
      <c r="AU29" s="23" t="s">
        <v>13</v>
      </c>
      <c r="AV29" s="23" t="b">
        <v>1</v>
      </c>
      <c r="AW29" s="26" t="s">
        <v>72</v>
      </c>
      <c r="AX29" s="26">
        <v>42205.273611111108</v>
      </c>
      <c r="AY29" s="26" t="s">
        <v>72</v>
      </c>
      <c r="AZ29" s="26">
        <v>42205.273611111108</v>
      </c>
      <c r="BB29" s="9" t="str">
        <f t="shared" si="1"/>
        <v>No</v>
      </c>
      <c r="BC29" s="9" t="str">
        <f>IF(EFB!$N29=Table1[[#This Row],[ProgramTitle]],"Yes","No")</f>
        <v>Yes</v>
      </c>
      <c r="BD29" s="9" t="str">
        <f>IF(EFB!$S29=Table1[[#This Row],[SeriesEpisodeTitle]],"Yes","No")</f>
        <v>Yes</v>
      </c>
      <c r="BE29" s="11">
        <f t="shared" si="2"/>
        <v>4.1666666666666664E-2</v>
      </c>
      <c r="BF29" s="11">
        <f t="shared" si="3"/>
        <v>0</v>
      </c>
      <c r="BH29" s="21">
        <f>Table1[[#This Row],[StartTime]]+$BG$2</f>
        <v>4.1666666666666664E-2</v>
      </c>
    </row>
    <row r="30" spans="1:60" s="8" customFormat="1" x14ac:dyDescent="0.25">
      <c r="A30" s="16"/>
      <c r="B30" s="28"/>
      <c r="C30" s="17">
        <f t="shared" si="0"/>
        <v>4.1666666666666664E-2</v>
      </c>
      <c r="D30" s="16"/>
      <c r="E30" s="16"/>
      <c r="F30" s="18"/>
      <c r="G30" s="23"/>
      <c r="H30" s="23"/>
      <c r="I30" s="23"/>
      <c r="J30" s="24"/>
      <c r="K30" s="24"/>
      <c r="L30" s="25"/>
      <c r="M30" s="25"/>
      <c r="N30" s="23"/>
      <c r="O30" s="23"/>
      <c r="P30" s="23"/>
      <c r="Q30" s="23"/>
      <c r="R30" s="23"/>
      <c r="S30" s="23"/>
      <c r="T30" s="23"/>
      <c r="U30" s="23" t="s">
        <v>7</v>
      </c>
      <c r="V30" s="23" t="s">
        <v>7</v>
      </c>
      <c r="W30" s="23" t="s">
        <v>7</v>
      </c>
      <c r="X30" s="23" t="s">
        <v>7</v>
      </c>
      <c r="Y30" s="23" t="b">
        <v>0</v>
      </c>
      <c r="Z30" s="23" t="b">
        <v>0</v>
      </c>
      <c r="AA30" s="26" t="s">
        <v>8</v>
      </c>
      <c r="AB30" s="23" t="b">
        <v>0</v>
      </c>
      <c r="AC30" s="26" t="s">
        <v>70</v>
      </c>
      <c r="AD30" s="23">
        <v>0</v>
      </c>
      <c r="AE30" s="23" t="b">
        <v>0</v>
      </c>
      <c r="AF30" s="23"/>
      <c r="AG30" s="26"/>
      <c r="AH30" s="23"/>
      <c r="AI30" s="26"/>
      <c r="AJ30" s="23" t="s">
        <v>16</v>
      </c>
      <c r="AK30" s="23"/>
      <c r="AL30" s="26"/>
      <c r="AM30" s="23"/>
      <c r="AN30" s="26"/>
      <c r="AO30" s="23"/>
      <c r="AP30" s="23" t="s">
        <v>11</v>
      </c>
      <c r="AQ30" s="23" t="s">
        <v>17</v>
      </c>
      <c r="AR30" s="26"/>
      <c r="AS30" s="23">
        <v>17359081</v>
      </c>
      <c r="AT30" s="26">
        <v>259478690</v>
      </c>
      <c r="AU30" s="23" t="s">
        <v>13</v>
      </c>
      <c r="AV30" s="23" t="b">
        <v>1</v>
      </c>
      <c r="AW30" s="26" t="s">
        <v>72</v>
      </c>
      <c r="AX30" s="26">
        <v>42205.273611111108</v>
      </c>
      <c r="AY30" s="26" t="s">
        <v>72</v>
      </c>
      <c r="AZ30" s="26">
        <v>42205.273611111108</v>
      </c>
      <c r="BA30" s="12"/>
      <c r="BB30" s="9" t="str">
        <f t="shared" ref="BB30:BB93" si="4">IF(BE30=BF30,"Yes","No")</f>
        <v>No</v>
      </c>
      <c r="BC30" s="9" t="str">
        <f>IF(EFB!$N30=Table1[[#This Row],[ProgramTitle]],"Yes","No")</f>
        <v>Yes</v>
      </c>
      <c r="BD30" s="9" t="str">
        <f>IF(EFB!$S30=Table1[[#This Row],[SeriesEpisodeTitle]],"Yes","No")</f>
        <v>Yes</v>
      </c>
      <c r="BE30" s="11">
        <f t="shared" si="2"/>
        <v>4.1666666666666664E-2</v>
      </c>
      <c r="BF30" s="11">
        <f t="shared" si="3"/>
        <v>0</v>
      </c>
      <c r="BH30" s="21">
        <f>Table1[[#This Row],[StartTime]]+$BG$2</f>
        <v>4.1666666666666664E-2</v>
      </c>
    </row>
    <row r="31" spans="1:60" x14ac:dyDescent="0.25">
      <c r="A31" s="16"/>
      <c r="B31" s="2"/>
      <c r="C31" s="17">
        <f t="shared" si="0"/>
        <v>4.1666666666666664E-2</v>
      </c>
      <c r="D31" s="16"/>
      <c r="E31" s="16"/>
      <c r="G31" s="23"/>
      <c r="H31" s="23"/>
      <c r="I31" s="23"/>
      <c r="J31" s="24"/>
      <c r="K31" s="24"/>
      <c r="L31" s="25"/>
      <c r="M31" s="25"/>
      <c r="N31" s="23"/>
      <c r="O31" s="23"/>
      <c r="P31" s="23"/>
      <c r="Q31" s="23"/>
      <c r="R31" s="23"/>
      <c r="S31" s="23"/>
      <c r="T31" s="23"/>
      <c r="U31" s="23" t="s">
        <v>7</v>
      </c>
      <c r="V31" s="23" t="s">
        <v>7</v>
      </c>
      <c r="W31" s="23" t="s">
        <v>7</v>
      </c>
      <c r="X31" s="23" t="s">
        <v>7</v>
      </c>
      <c r="Y31" s="23" t="b">
        <v>0</v>
      </c>
      <c r="Z31" s="23" t="b">
        <v>0</v>
      </c>
      <c r="AA31" s="26" t="s">
        <v>8</v>
      </c>
      <c r="AB31" s="23" t="b">
        <v>0</v>
      </c>
      <c r="AC31" s="26" t="s">
        <v>73</v>
      </c>
      <c r="AD31" s="23">
        <v>0</v>
      </c>
      <c r="AE31" s="23" t="b">
        <v>0</v>
      </c>
      <c r="AF31" s="23"/>
      <c r="AG31" s="26"/>
      <c r="AH31" s="23"/>
      <c r="AI31" s="26"/>
      <c r="AJ31" s="23" t="s">
        <v>16</v>
      </c>
      <c r="AK31" s="23"/>
      <c r="AL31" s="26"/>
      <c r="AM31" s="23"/>
      <c r="AN31" s="26"/>
      <c r="AO31" s="23"/>
      <c r="AP31" s="23" t="s">
        <v>11</v>
      </c>
      <c r="AQ31" s="23" t="s">
        <v>17</v>
      </c>
      <c r="AR31" s="26"/>
      <c r="AS31" s="23">
        <v>27580034</v>
      </c>
      <c r="AT31" s="26">
        <v>259478862</v>
      </c>
      <c r="AU31" s="23" t="s">
        <v>13</v>
      </c>
      <c r="AV31" s="23" t="b">
        <v>1</v>
      </c>
      <c r="AW31" s="26" t="s">
        <v>72</v>
      </c>
      <c r="AX31" s="26">
        <v>42205.273611111108</v>
      </c>
      <c r="AY31" s="26" t="s">
        <v>72</v>
      </c>
      <c r="AZ31" s="26">
        <v>42205.273611111108</v>
      </c>
      <c r="BB31" s="9" t="str">
        <f t="shared" si="4"/>
        <v>No</v>
      </c>
      <c r="BC31" s="9" t="str">
        <f>IF(EFB!$N31=Table1[[#This Row],[ProgramTitle]],"Yes","No")</f>
        <v>Yes</v>
      </c>
      <c r="BD31" s="9" t="str">
        <f>IF(EFB!$S31=Table1[[#This Row],[SeriesEpisodeTitle]],"Yes","No")</f>
        <v>Yes</v>
      </c>
      <c r="BE31" s="11">
        <f t="shared" si="2"/>
        <v>4.1666666666666664E-2</v>
      </c>
      <c r="BF31" s="11">
        <f t="shared" si="3"/>
        <v>0</v>
      </c>
      <c r="BH31" s="21">
        <f>Table1[[#This Row],[StartTime]]+$BG$2</f>
        <v>4.1666666666666664E-2</v>
      </c>
    </row>
    <row r="32" spans="1:60" x14ac:dyDescent="0.25">
      <c r="A32" s="16"/>
      <c r="B32" s="2"/>
      <c r="C32" s="17">
        <f t="shared" si="0"/>
        <v>4.1666666666666664E-2</v>
      </c>
      <c r="D32" s="16"/>
      <c r="E32" s="16"/>
      <c r="G32" s="23"/>
      <c r="H32" s="23"/>
      <c r="I32" s="23"/>
      <c r="J32" s="24"/>
      <c r="K32" s="24"/>
      <c r="L32" s="25"/>
      <c r="M32" s="25"/>
      <c r="N32" s="23"/>
      <c r="O32" s="23"/>
      <c r="P32" s="23"/>
      <c r="Q32" s="23"/>
      <c r="R32" s="23"/>
      <c r="S32" s="23"/>
      <c r="T32" s="23"/>
      <c r="U32" s="23" t="s">
        <v>7</v>
      </c>
      <c r="V32" s="23" t="s">
        <v>7</v>
      </c>
      <c r="W32" s="23" t="s">
        <v>7</v>
      </c>
      <c r="X32" s="23" t="s">
        <v>7</v>
      </c>
      <c r="Y32" s="23" t="b">
        <v>0</v>
      </c>
      <c r="Z32" s="23" t="b">
        <v>0</v>
      </c>
      <c r="AA32" s="26" t="s">
        <v>8</v>
      </c>
      <c r="AB32" s="23" t="b">
        <v>0</v>
      </c>
      <c r="AC32" s="26" t="s">
        <v>70</v>
      </c>
      <c r="AD32" s="23">
        <v>0</v>
      </c>
      <c r="AE32" s="23" t="b">
        <v>0</v>
      </c>
      <c r="AF32" s="23"/>
      <c r="AG32" s="26"/>
      <c r="AH32" s="23"/>
      <c r="AI32" s="26"/>
      <c r="AJ32" s="23" t="s">
        <v>16</v>
      </c>
      <c r="AK32" s="23"/>
      <c r="AL32" s="26"/>
      <c r="AM32" s="23"/>
      <c r="AN32" s="26"/>
      <c r="AO32" s="23"/>
      <c r="AP32" s="23" t="s">
        <v>11</v>
      </c>
      <c r="AQ32" s="23" t="s">
        <v>17</v>
      </c>
      <c r="AR32" s="26"/>
      <c r="AS32" s="23">
        <v>17359081</v>
      </c>
      <c r="AT32" s="26">
        <v>259478689</v>
      </c>
      <c r="AU32" s="23" t="s">
        <v>13</v>
      </c>
      <c r="AV32" s="23" t="b">
        <v>1</v>
      </c>
      <c r="AW32" s="26" t="s">
        <v>72</v>
      </c>
      <c r="AX32" s="26">
        <v>42205.273611111108</v>
      </c>
      <c r="AY32" s="26" t="s">
        <v>72</v>
      </c>
      <c r="AZ32" s="26">
        <v>42205.273611111108</v>
      </c>
      <c r="BB32" s="9" t="str">
        <f t="shared" si="4"/>
        <v>No</v>
      </c>
      <c r="BC32" s="9" t="str">
        <f>IF(EFB!$N32=Table1[[#This Row],[ProgramTitle]],"Yes","No")</f>
        <v>Yes</v>
      </c>
      <c r="BD32" s="9" t="str">
        <f>IF(EFB!$S32=Table1[[#This Row],[SeriesEpisodeTitle]],"Yes","No")</f>
        <v>Yes</v>
      </c>
      <c r="BE32" s="11">
        <f t="shared" si="2"/>
        <v>4.1666666666666664E-2</v>
      </c>
      <c r="BF32" s="11">
        <f t="shared" si="3"/>
        <v>0</v>
      </c>
      <c r="BH32" s="21">
        <f>Table1[[#This Row],[StartTime]]+$BG$2</f>
        <v>4.1666666666666664E-2</v>
      </c>
    </row>
    <row r="33" spans="1:60" x14ac:dyDescent="0.25">
      <c r="A33" s="16"/>
      <c r="B33" s="2"/>
      <c r="C33" s="17">
        <f t="shared" si="0"/>
        <v>4.1666666666666664E-2</v>
      </c>
      <c r="D33" s="16"/>
      <c r="E33" s="16"/>
      <c r="G33" s="23"/>
      <c r="H33" s="23"/>
      <c r="I33" s="23"/>
      <c r="J33" s="24"/>
      <c r="K33" s="24"/>
      <c r="L33" s="25"/>
      <c r="M33" s="25"/>
      <c r="N33" s="23"/>
      <c r="O33" s="23"/>
      <c r="P33" s="23"/>
      <c r="Q33" s="23"/>
      <c r="R33" s="23"/>
      <c r="S33" s="23"/>
      <c r="T33" s="23"/>
      <c r="U33" s="23" t="s">
        <v>7</v>
      </c>
      <c r="V33" s="23" t="s">
        <v>7</v>
      </c>
      <c r="W33" s="23" t="s">
        <v>7</v>
      </c>
      <c r="X33" s="23" t="s">
        <v>7</v>
      </c>
      <c r="Y33" s="23" t="b">
        <v>0</v>
      </c>
      <c r="Z33" s="23" t="b">
        <v>0</v>
      </c>
      <c r="AA33" s="26" t="s">
        <v>8</v>
      </c>
      <c r="AB33" s="23" t="b">
        <v>0</v>
      </c>
      <c r="AC33" s="26" t="s">
        <v>74</v>
      </c>
      <c r="AD33" s="23">
        <v>0</v>
      </c>
      <c r="AE33" s="23" t="b">
        <v>0</v>
      </c>
      <c r="AF33" s="23"/>
      <c r="AG33" s="23" t="s">
        <v>69</v>
      </c>
      <c r="AH33" s="23"/>
      <c r="AI33" s="23"/>
      <c r="AJ33" s="23" t="s">
        <v>16</v>
      </c>
      <c r="AK33" s="23"/>
      <c r="AL33" s="26"/>
      <c r="AM33" s="23"/>
      <c r="AN33" s="26"/>
      <c r="AO33" s="23"/>
      <c r="AP33" s="23" t="s">
        <v>11</v>
      </c>
      <c r="AQ33" s="23" t="s">
        <v>17</v>
      </c>
      <c r="AR33" s="26"/>
      <c r="AS33" s="23">
        <v>27580025</v>
      </c>
      <c r="AT33" s="26">
        <v>259702273</v>
      </c>
      <c r="AU33" s="23" t="s">
        <v>13</v>
      </c>
      <c r="AV33" s="23" t="b">
        <v>1</v>
      </c>
      <c r="AW33" s="26" t="s">
        <v>72</v>
      </c>
      <c r="AX33" s="26">
        <v>42205.273611111108</v>
      </c>
      <c r="AY33" s="26" t="s">
        <v>72</v>
      </c>
      <c r="AZ33" s="26">
        <v>42205.273611111108</v>
      </c>
      <c r="BB33" s="9" t="str">
        <f t="shared" si="4"/>
        <v>No</v>
      </c>
      <c r="BC33" s="9" t="str">
        <f>IF(EFB!$N33=Table1[[#This Row],[ProgramTitle]],"Yes","No")</f>
        <v>Yes</v>
      </c>
      <c r="BD33" s="9" t="str">
        <f>IF(EFB!$S33=Table1[[#This Row],[SeriesEpisodeTitle]],"Yes","No")</f>
        <v>Yes</v>
      </c>
      <c r="BE33" s="11">
        <f t="shared" si="2"/>
        <v>4.1666666666666664E-2</v>
      </c>
      <c r="BF33" s="11">
        <f t="shared" si="3"/>
        <v>0</v>
      </c>
      <c r="BH33" s="21">
        <f>Table1[[#This Row],[StartTime]]+$BG$2</f>
        <v>4.1666666666666664E-2</v>
      </c>
    </row>
    <row r="34" spans="1:60" x14ac:dyDescent="0.25">
      <c r="A34" s="16"/>
      <c r="B34" s="2"/>
      <c r="C34" s="17">
        <f t="shared" si="0"/>
        <v>4.1666666666666664E-2</v>
      </c>
      <c r="D34" s="16"/>
      <c r="E34" s="16"/>
      <c r="G34" s="23"/>
      <c r="H34" s="23"/>
      <c r="I34" s="23"/>
      <c r="J34" s="24"/>
      <c r="K34" s="29"/>
      <c r="L34" s="30"/>
      <c r="M34" s="30"/>
      <c r="N34" s="31"/>
      <c r="O34" s="31"/>
      <c r="P34" s="31"/>
      <c r="Q34" s="31"/>
      <c r="R34" s="31"/>
      <c r="S34" s="31"/>
      <c r="T34" s="23"/>
      <c r="U34" s="23" t="s">
        <v>7</v>
      </c>
      <c r="V34" s="23" t="s">
        <v>7</v>
      </c>
      <c r="W34" s="23" t="s">
        <v>7</v>
      </c>
      <c r="X34" s="23" t="s">
        <v>7</v>
      </c>
      <c r="Y34" s="23" t="b">
        <v>0</v>
      </c>
      <c r="Z34" s="23" t="b">
        <v>0</v>
      </c>
      <c r="AA34" s="26" t="s">
        <v>8</v>
      </c>
      <c r="AB34" s="23" t="b">
        <v>0</v>
      </c>
      <c r="AC34" s="26" t="s">
        <v>70</v>
      </c>
      <c r="AD34" s="23">
        <v>0</v>
      </c>
      <c r="AE34" s="23" t="b">
        <v>0</v>
      </c>
      <c r="AF34" s="23"/>
      <c r="AG34" s="23"/>
      <c r="AH34" s="23"/>
      <c r="AI34" s="23"/>
      <c r="AJ34" s="23" t="s">
        <v>16</v>
      </c>
      <c r="AK34" s="23"/>
      <c r="AL34" s="26"/>
      <c r="AM34" s="23"/>
      <c r="AN34" s="26"/>
      <c r="AO34" s="23"/>
      <c r="AP34" s="23" t="s">
        <v>11</v>
      </c>
      <c r="AQ34" s="23" t="s">
        <v>17</v>
      </c>
      <c r="AR34" s="26"/>
      <c r="AS34" s="23">
        <v>17359081</v>
      </c>
      <c r="AT34" s="26">
        <v>259478691</v>
      </c>
      <c r="AU34" s="23" t="s">
        <v>13</v>
      </c>
      <c r="AV34" s="23" t="b">
        <v>1</v>
      </c>
      <c r="AW34" s="26" t="s">
        <v>72</v>
      </c>
      <c r="AX34" s="26">
        <v>42205.273611111108</v>
      </c>
      <c r="AY34" s="26" t="s">
        <v>14</v>
      </c>
      <c r="AZ34" s="26">
        <v>42219.116666666669</v>
      </c>
      <c r="BB34" s="9" t="str">
        <f t="shared" si="4"/>
        <v>No</v>
      </c>
      <c r="BC34" s="9" t="str">
        <f>IF(EFB!$N34=Table1[[#This Row],[ProgramTitle]],"Yes","No")</f>
        <v>Yes</v>
      </c>
      <c r="BD34" s="9" t="str">
        <f>IF(EFB!$S34=Table1[[#This Row],[SeriesEpisodeTitle]],"Yes","No")</f>
        <v>Yes</v>
      </c>
      <c r="BE34" s="11">
        <f t="shared" si="2"/>
        <v>4.1666666666666664E-2</v>
      </c>
      <c r="BF34" s="11">
        <f t="shared" si="3"/>
        <v>0</v>
      </c>
      <c r="BH34" s="21">
        <f>Table1[[#This Row],[StartTime]]+$BG$2</f>
        <v>4.1666666666666664E-2</v>
      </c>
    </row>
    <row r="35" spans="1:60" x14ac:dyDescent="0.25">
      <c r="A35" s="16"/>
      <c r="B35" s="2"/>
      <c r="C35" s="17">
        <f t="shared" si="0"/>
        <v>4.1666666666666664E-2</v>
      </c>
      <c r="D35" s="16"/>
      <c r="E35" s="16"/>
      <c r="G35" s="31"/>
      <c r="H35" s="31"/>
      <c r="I35" s="31"/>
      <c r="J35" s="29"/>
      <c r="K35" s="24"/>
      <c r="L35" s="25"/>
      <c r="M35" s="25"/>
      <c r="N35" s="23"/>
      <c r="O35" s="23"/>
      <c r="P35" s="23"/>
      <c r="Q35" s="23"/>
      <c r="R35" s="23"/>
      <c r="S35" s="23"/>
      <c r="T35" s="31"/>
      <c r="U35" s="31" t="s">
        <v>7</v>
      </c>
      <c r="V35" s="31"/>
      <c r="W35" s="31"/>
      <c r="X35" s="31" t="s">
        <v>7</v>
      </c>
      <c r="Y35" s="31" t="b">
        <v>0</v>
      </c>
      <c r="Z35" s="31" t="b">
        <v>0</v>
      </c>
      <c r="AA35" s="32" t="s">
        <v>8</v>
      </c>
      <c r="AB35" s="31" t="b">
        <v>0</v>
      </c>
      <c r="AC35" s="32" t="s">
        <v>70</v>
      </c>
      <c r="AD35" s="31">
        <v>0</v>
      </c>
      <c r="AE35" s="31" t="b">
        <v>0</v>
      </c>
      <c r="AF35" s="31"/>
      <c r="AG35" s="31"/>
      <c r="AH35" s="31"/>
      <c r="AI35" s="31"/>
      <c r="AJ35" s="31" t="s">
        <v>16</v>
      </c>
      <c r="AK35" s="31"/>
      <c r="AL35" s="32"/>
      <c r="AM35" s="31"/>
      <c r="AN35" s="32"/>
      <c r="AO35" s="31"/>
      <c r="AP35" s="31" t="s">
        <v>11</v>
      </c>
      <c r="AQ35" s="31" t="s">
        <v>17</v>
      </c>
      <c r="AR35" s="32"/>
      <c r="AS35" s="31">
        <v>17359083</v>
      </c>
      <c r="AT35" s="32">
        <v>259478702</v>
      </c>
      <c r="AU35" s="31" t="s">
        <v>13</v>
      </c>
      <c r="AV35" s="31" t="b">
        <v>1</v>
      </c>
      <c r="AW35" s="32" t="s">
        <v>72</v>
      </c>
      <c r="AX35" s="32">
        <v>42205.273611111108</v>
      </c>
      <c r="AY35" s="32" t="s">
        <v>14</v>
      </c>
      <c r="AZ35" s="32">
        <v>42219.116666666669</v>
      </c>
      <c r="BB35" s="9" t="str">
        <f t="shared" si="4"/>
        <v>No</v>
      </c>
      <c r="BC35" s="9" t="str">
        <f>IF(EFB!$N35=Table1[[#This Row],[ProgramTitle]],"Yes","No")</f>
        <v>Yes</v>
      </c>
      <c r="BD35" s="9" t="str">
        <f>IF(EFB!$S35=Table1[[#This Row],[SeriesEpisodeTitle]],"Yes","No")</f>
        <v>Yes</v>
      </c>
      <c r="BE35" s="11">
        <f t="shared" si="2"/>
        <v>4.1666666666666664E-2</v>
      </c>
      <c r="BF35" s="11">
        <f t="shared" si="3"/>
        <v>0</v>
      </c>
      <c r="BH35" s="21">
        <f>Table1[[#This Row],[StartTime]]+$BG$2</f>
        <v>4.1666666666666664E-2</v>
      </c>
    </row>
    <row r="36" spans="1:60" x14ac:dyDescent="0.25">
      <c r="A36" s="16"/>
      <c r="B36" s="2"/>
      <c r="C36" s="17">
        <f t="shared" si="0"/>
        <v>4.1666666666666664E-2</v>
      </c>
      <c r="D36" s="16"/>
      <c r="E36" s="16"/>
      <c r="G36" s="23"/>
      <c r="H36" s="23"/>
      <c r="I36" s="23"/>
      <c r="J36" s="24"/>
      <c r="K36" s="29"/>
      <c r="L36" s="30"/>
      <c r="M36" s="30"/>
      <c r="N36" s="31"/>
      <c r="O36" s="31"/>
      <c r="P36" s="31"/>
      <c r="Q36" s="31"/>
      <c r="R36" s="31"/>
      <c r="S36" s="31"/>
      <c r="T36" s="23"/>
      <c r="U36" s="23" t="s">
        <v>7</v>
      </c>
      <c r="V36" s="23" t="s">
        <v>7</v>
      </c>
      <c r="W36" s="23" t="s">
        <v>7</v>
      </c>
      <c r="X36" s="23" t="s">
        <v>7</v>
      </c>
      <c r="Y36" s="23" t="b">
        <v>0</v>
      </c>
      <c r="Z36" s="23" t="b">
        <v>0</v>
      </c>
      <c r="AA36" s="26" t="s">
        <v>8</v>
      </c>
      <c r="AB36" s="23" t="b">
        <v>0</v>
      </c>
      <c r="AC36" s="26" t="s">
        <v>15</v>
      </c>
      <c r="AD36" s="23">
        <v>0</v>
      </c>
      <c r="AE36" s="23" t="b">
        <v>0</v>
      </c>
      <c r="AF36" s="23"/>
      <c r="AG36" s="23"/>
      <c r="AH36" s="23"/>
      <c r="AI36" s="23"/>
      <c r="AJ36" s="23" t="s">
        <v>16</v>
      </c>
      <c r="AK36" s="23"/>
      <c r="AL36" s="26"/>
      <c r="AM36" s="23"/>
      <c r="AN36" s="26"/>
      <c r="AO36" s="23"/>
      <c r="AP36" s="23" t="s">
        <v>11</v>
      </c>
      <c r="AQ36" s="23" t="s">
        <v>17</v>
      </c>
      <c r="AR36" s="26"/>
      <c r="AS36" s="23">
        <v>22642711</v>
      </c>
      <c r="AT36" s="26">
        <v>259478777</v>
      </c>
      <c r="AU36" s="23" t="s">
        <v>13</v>
      </c>
      <c r="AV36" s="23" t="b">
        <v>1</v>
      </c>
      <c r="AW36" s="26" t="s">
        <v>72</v>
      </c>
      <c r="AX36" s="26">
        <v>42205.273611111108</v>
      </c>
      <c r="AY36" s="26" t="s">
        <v>14</v>
      </c>
      <c r="AZ36" s="26">
        <v>42219.116666666669</v>
      </c>
      <c r="BB36" s="9" t="str">
        <f t="shared" si="4"/>
        <v>No</v>
      </c>
      <c r="BC36" s="9" t="str">
        <f>IF(EFB!$N36=Table1[[#This Row],[ProgramTitle]],"Yes","No")</f>
        <v>Yes</v>
      </c>
      <c r="BD36" s="9" t="str">
        <f>IF(EFB!$S36=Table1[[#This Row],[SeriesEpisodeTitle]],"Yes","No")</f>
        <v>Yes</v>
      </c>
      <c r="BE36" s="11">
        <f t="shared" si="2"/>
        <v>4.1666666666666664E-2</v>
      </c>
      <c r="BF36" s="11">
        <f t="shared" si="3"/>
        <v>0</v>
      </c>
      <c r="BH36" s="21">
        <f>Table1[[#This Row],[StartTime]]+$BG$2</f>
        <v>4.1666666666666664E-2</v>
      </c>
    </row>
    <row r="37" spans="1:60" x14ac:dyDescent="0.25">
      <c r="A37" s="16"/>
      <c r="B37" s="2"/>
      <c r="C37" s="17">
        <f t="shared" si="0"/>
        <v>4.1666666666666664E-2</v>
      </c>
      <c r="D37" s="16"/>
      <c r="E37" s="16"/>
      <c r="G37" s="31"/>
      <c r="H37" s="31"/>
      <c r="I37" s="31"/>
      <c r="J37" s="29"/>
      <c r="K37" s="24"/>
      <c r="L37" s="25"/>
      <c r="M37" s="25"/>
      <c r="N37" s="23"/>
      <c r="O37" s="23"/>
      <c r="P37" s="23"/>
      <c r="Q37" s="23"/>
      <c r="R37" s="23"/>
      <c r="S37" s="23"/>
      <c r="T37" s="31"/>
      <c r="U37" s="31" t="s">
        <v>7</v>
      </c>
      <c r="V37" s="31" t="s">
        <v>7</v>
      </c>
      <c r="W37" s="31" t="s">
        <v>7</v>
      </c>
      <c r="X37" s="31" t="s">
        <v>7</v>
      </c>
      <c r="Y37" s="31" t="b">
        <v>0</v>
      </c>
      <c r="Z37" s="31" t="b">
        <v>0</v>
      </c>
      <c r="AA37" s="32" t="s">
        <v>8</v>
      </c>
      <c r="AB37" s="31" t="b">
        <v>0</v>
      </c>
      <c r="AC37" s="32" t="s">
        <v>73</v>
      </c>
      <c r="AD37" s="31">
        <v>0</v>
      </c>
      <c r="AE37" s="31" t="b">
        <v>0</v>
      </c>
      <c r="AF37" s="31"/>
      <c r="AG37" s="31"/>
      <c r="AH37" s="31"/>
      <c r="AI37" s="31"/>
      <c r="AJ37" s="31" t="s">
        <v>16</v>
      </c>
      <c r="AK37" s="31"/>
      <c r="AL37" s="32"/>
      <c r="AM37" s="31"/>
      <c r="AN37" s="32"/>
      <c r="AO37" s="31"/>
      <c r="AP37" s="31" t="s">
        <v>11</v>
      </c>
      <c r="AQ37" s="31" t="s">
        <v>17</v>
      </c>
      <c r="AR37" s="32"/>
      <c r="AS37" s="31">
        <v>27580034</v>
      </c>
      <c r="AT37" s="32">
        <v>259478863</v>
      </c>
      <c r="AU37" s="31" t="s">
        <v>13</v>
      </c>
      <c r="AV37" s="31" t="b">
        <v>1</v>
      </c>
      <c r="AW37" s="32" t="s">
        <v>72</v>
      </c>
      <c r="AX37" s="32">
        <v>42205.273611111108</v>
      </c>
      <c r="AY37" s="32" t="s">
        <v>14</v>
      </c>
      <c r="AZ37" s="32">
        <v>42219.116666666669</v>
      </c>
      <c r="BB37" s="9" t="str">
        <f t="shared" si="4"/>
        <v>No</v>
      </c>
      <c r="BC37" s="9" t="str">
        <f>IF(EFB!$N37=Table1[[#This Row],[ProgramTitle]],"Yes","No")</f>
        <v>Yes</v>
      </c>
      <c r="BD37" s="9" t="str">
        <f>IF(EFB!$S37=Table1[[#This Row],[SeriesEpisodeTitle]],"Yes","No")</f>
        <v>Yes</v>
      </c>
      <c r="BE37" s="11">
        <f t="shared" si="2"/>
        <v>4.1666666666666664E-2</v>
      </c>
      <c r="BF37" s="11">
        <f t="shared" si="3"/>
        <v>0</v>
      </c>
      <c r="BH37" s="21">
        <f>Table1[[#This Row],[StartTime]]+$BG$2</f>
        <v>4.1666666666666664E-2</v>
      </c>
    </row>
    <row r="38" spans="1:60" x14ac:dyDescent="0.25">
      <c r="A38" s="16"/>
      <c r="B38" s="2"/>
      <c r="C38" s="17">
        <f t="shared" si="0"/>
        <v>4.1666666666666664E-2</v>
      </c>
      <c r="D38" s="16"/>
      <c r="E38" s="16"/>
      <c r="G38" s="23"/>
      <c r="H38" s="23"/>
      <c r="I38" s="23"/>
      <c r="J38" s="24"/>
      <c r="K38" s="24"/>
      <c r="L38" s="25"/>
      <c r="M38" s="25"/>
      <c r="N38" s="23"/>
      <c r="O38" s="23"/>
      <c r="P38" s="23"/>
      <c r="Q38" s="23"/>
      <c r="R38" s="23"/>
      <c r="S38" s="23"/>
      <c r="T38" s="23"/>
      <c r="U38" s="23" t="s">
        <v>7</v>
      </c>
      <c r="V38" s="23" t="s">
        <v>7</v>
      </c>
      <c r="W38" s="23" t="s">
        <v>7</v>
      </c>
      <c r="X38" s="23" t="s">
        <v>7</v>
      </c>
      <c r="Y38" s="23" t="b">
        <v>0</v>
      </c>
      <c r="Z38" s="23" t="b">
        <v>0</v>
      </c>
      <c r="AA38" s="26" t="s">
        <v>8</v>
      </c>
      <c r="AB38" s="23" t="b">
        <v>0</v>
      </c>
      <c r="AC38" s="26" t="s">
        <v>15</v>
      </c>
      <c r="AD38" s="23">
        <v>0</v>
      </c>
      <c r="AE38" s="23" t="b">
        <v>0</v>
      </c>
      <c r="AF38" s="23"/>
      <c r="AG38" s="23"/>
      <c r="AH38" s="23"/>
      <c r="AI38" s="23"/>
      <c r="AJ38" s="23" t="s">
        <v>16</v>
      </c>
      <c r="AK38" s="23"/>
      <c r="AL38" s="26"/>
      <c r="AM38" s="23"/>
      <c r="AN38" s="26"/>
      <c r="AO38" s="23"/>
      <c r="AP38" s="23" t="s">
        <v>11</v>
      </c>
      <c r="AQ38" s="23" t="s">
        <v>17</v>
      </c>
      <c r="AR38" s="26"/>
      <c r="AS38" s="23">
        <v>24324661</v>
      </c>
      <c r="AT38" s="26">
        <v>259478793</v>
      </c>
      <c r="AU38" s="23" t="s">
        <v>13</v>
      </c>
      <c r="AV38" s="23" t="b">
        <v>1</v>
      </c>
      <c r="AW38" s="26" t="s">
        <v>72</v>
      </c>
      <c r="AX38" s="26">
        <v>42205.273611111108</v>
      </c>
      <c r="AY38" s="26" t="s">
        <v>72</v>
      </c>
      <c r="AZ38" s="26">
        <v>42205.273611111108</v>
      </c>
      <c r="BB38" s="9" t="str">
        <f t="shared" si="4"/>
        <v>No</v>
      </c>
      <c r="BC38" s="9" t="str">
        <f>IF(EFB!$N38=Table1[[#This Row],[ProgramTitle]],"Yes","No")</f>
        <v>Yes</v>
      </c>
      <c r="BD38" s="9" t="str">
        <f>IF(EFB!$S38=Table1[[#This Row],[SeriesEpisodeTitle]],"Yes","No")</f>
        <v>Yes</v>
      </c>
      <c r="BE38" s="11">
        <f t="shared" si="2"/>
        <v>4.1666666666666664E-2</v>
      </c>
      <c r="BF38" s="11">
        <f t="shared" si="3"/>
        <v>0</v>
      </c>
      <c r="BH38" s="21">
        <f>Table1[[#This Row],[StartTime]]+$BG$2</f>
        <v>4.1666666666666664E-2</v>
      </c>
    </row>
    <row r="39" spans="1:60" x14ac:dyDescent="0.25">
      <c r="A39" s="16"/>
      <c r="B39" s="2"/>
      <c r="C39" s="17">
        <f t="shared" si="0"/>
        <v>4.1666666666666664E-2</v>
      </c>
      <c r="D39" s="16"/>
      <c r="E39" s="16"/>
      <c r="G39" s="23"/>
      <c r="H39" s="23"/>
      <c r="I39" s="23"/>
      <c r="J39" s="24"/>
      <c r="K39" s="24"/>
      <c r="L39" s="25"/>
      <c r="M39" s="25"/>
      <c r="N39" s="23"/>
      <c r="O39" s="23"/>
      <c r="P39" s="23"/>
      <c r="Q39" s="23"/>
      <c r="R39" s="23"/>
      <c r="S39" s="23"/>
      <c r="T39" s="23"/>
      <c r="U39" s="23" t="s">
        <v>7</v>
      </c>
      <c r="V39" s="23" t="s">
        <v>7</v>
      </c>
      <c r="W39" s="23" t="s">
        <v>7</v>
      </c>
      <c r="X39" s="23" t="s">
        <v>7</v>
      </c>
      <c r="Y39" s="23" t="b">
        <v>0</v>
      </c>
      <c r="Z39" s="23" t="b">
        <v>0</v>
      </c>
      <c r="AA39" s="26" t="s">
        <v>8</v>
      </c>
      <c r="AB39" s="23" t="b">
        <v>0</v>
      </c>
      <c r="AC39" s="26"/>
      <c r="AD39" s="23">
        <v>0</v>
      </c>
      <c r="AE39" s="23" t="b">
        <v>0</v>
      </c>
      <c r="AF39" s="23"/>
      <c r="AG39" s="23"/>
      <c r="AH39" s="23"/>
      <c r="AI39" s="23"/>
      <c r="AJ39" s="23" t="s">
        <v>10</v>
      </c>
      <c r="AK39" s="23"/>
      <c r="AL39" s="26"/>
      <c r="AM39" s="23"/>
      <c r="AN39" s="26"/>
      <c r="AO39" s="23"/>
      <c r="AP39" s="23" t="s">
        <v>11</v>
      </c>
      <c r="AQ39" s="23" t="s">
        <v>17</v>
      </c>
      <c r="AR39" s="26"/>
      <c r="AS39" s="23">
        <v>24324658</v>
      </c>
      <c r="AT39" s="26">
        <v>259478792</v>
      </c>
      <c r="AU39" s="23" t="s">
        <v>13</v>
      </c>
      <c r="AV39" s="23" t="b">
        <v>1</v>
      </c>
      <c r="AW39" s="26" t="s">
        <v>72</v>
      </c>
      <c r="AX39" s="26">
        <v>42205.273611111108</v>
      </c>
      <c r="AY39" s="26" t="s">
        <v>72</v>
      </c>
      <c r="AZ39" s="26">
        <v>42205.273611111108</v>
      </c>
      <c r="BB39" s="9" t="str">
        <f t="shared" si="4"/>
        <v>No</v>
      </c>
      <c r="BC39" s="9" t="str">
        <f>IF(EFB!$N39=Table1[[#This Row],[ProgramTitle]],"Yes","No")</f>
        <v>Yes</v>
      </c>
      <c r="BD39" s="9" t="str">
        <f>IF(EFB!$S39=Table1[[#This Row],[SeriesEpisodeTitle]],"Yes","No")</f>
        <v>Yes</v>
      </c>
      <c r="BE39" s="11">
        <f t="shared" si="2"/>
        <v>4.1666666666666664E-2</v>
      </c>
      <c r="BF39" s="11">
        <f t="shared" si="3"/>
        <v>0</v>
      </c>
      <c r="BH39" s="21">
        <f>Table1[[#This Row],[StartTime]]+$BG$2</f>
        <v>4.1666666666666664E-2</v>
      </c>
    </row>
    <row r="40" spans="1:60" x14ac:dyDescent="0.25">
      <c r="A40" s="16"/>
      <c r="B40" s="2"/>
      <c r="C40" s="17">
        <f t="shared" si="0"/>
        <v>4.1666666666666664E-2</v>
      </c>
      <c r="D40" s="16"/>
      <c r="E40" s="16"/>
      <c r="G40" s="23"/>
      <c r="H40" s="23"/>
      <c r="I40" s="23"/>
      <c r="J40" s="24"/>
      <c r="K40" s="24"/>
      <c r="L40" s="25"/>
      <c r="M40" s="25"/>
      <c r="N40" s="23"/>
      <c r="O40" s="23"/>
      <c r="P40" s="23"/>
      <c r="Q40" s="23"/>
      <c r="R40" s="23"/>
      <c r="S40" s="23"/>
      <c r="T40" s="23"/>
      <c r="U40" s="23" t="s">
        <v>7</v>
      </c>
      <c r="V40" s="23" t="s">
        <v>7</v>
      </c>
      <c r="W40" s="23" t="s">
        <v>7</v>
      </c>
      <c r="X40" s="23" t="s">
        <v>7</v>
      </c>
      <c r="Y40" s="23" t="b">
        <v>0</v>
      </c>
      <c r="Z40" s="23" t="b">
        <v>0</v>
      </c>
      <c r="AA40" s="26" t="s">
        <v>8</v>
      </c>
      <c r="AB40" s="23" t="b">
        <v>0</v>
      </c>
      <c r="AC40" s="26" t="s">
        <v>15</v>
      </c>
      <c r="AD40" s="23">
        <v>0</v>
      </c>
      <c r="AE40" s="23" t="b">
        <v>0</v>
      </c>
      <c r="AF40" s="23"/>
      <c r="AG40" s="23"/>
      <c r="AH40" s="23"/>
      <c r="AI40" s="23"/>
      <c r="AJ40" s="23" t="s">
        <v>16</v>
      </c>
      <c r="AK40" s="23"/>
      <c r="AL40" s="26"/>
      <c r="AM40" s="23"/>
      <c r="AN40" s="26"/>
      <c r="AO40" s="23"/>
      <c r="AP40" s="23" t="s">
        <v>11</v>
      </c>
      <c r="AQ40" s="23" t="s">
        <v>17</v>
      </c>
      <c r="AR40" s="26"/>
      <c r="AS40" s="23">
        <v>24324654</v>
      </c>
      <c r="AT40" s="26">
        <v>259478790</v>
      </c>
      <c r="AU40" s="23" t="s">
        <v>13</v>
      </c>
      <c r="AV40" s="23" t="b">
        <v>1</v>
      </c>
      <c r="AW40" s="26" t="s">
        <v>72</v>
      </c>
      <c r="AX40" s="26">
        <v>42205.273611111108</v>
      </c>
      <c r="AY40" s="26" t="s">
        <v>72</v>
      </c>
      <c r="AZ40" s="26">
        <v>42205.273611111108</v>
      </c>
      <c r="BB40" s="9" t="str">
        <f t="shared" si="4"/>
        <v>No</v>
      </c>
      <c r="BC40" s="9" t="str">
        <f>IF(EFB!$N40=Table1[[#This Row],[ProgramTitle]],"Yes","No")</f>
        <v>Yes</v>
      </c>
      <c r="BD40" s="9" t="str">
        <f>IF(EFB!$S40=Table1[[#This Row],[SeriesEpisodeTitle]],"Yes","No")</f>
        <v>Yes</v>
      </c>
      <c r="BE40" s="11">
        <f t="shared" si="2"/>
        <v>4.1666666666666664E-2</v>
      </c>
      <c r="BF40" s="11">
        <f t="shared" si="3"/>
        <v>0</v>
      </c>
      <c r="BH40" s="21">
        <f>Table1[[#This Row],[StartTime]]+$BG$2</f>
        <v>4.1666666666666664E-2</v>
      </c>
    </row>
    <row r="41" spans="1:60" x14ac:dyDescent="0.25">
      <c r="A41" s="16"/>
      <c r="B41" s="2"/>
      <c r="C41" s="17">
        <f t="shared" si="0"/>
        <v>4.1666666666666664E-2</v>
      </c>
      <c r="D41" s="16"/>
      <c r="E41" s="16"/>
      <c r="G41" s="23"/>
      <c r="H41" s="23"/>
      <c r="I41" s="23"/>
      <c r="J41" s="24"/>
      <c r="K41" s="24"/>
      <c r="L41" s="25"/>
      <c r="M41" s="25"/>
      <c r="N41" s="23"/>
      <c r="O41" s="23"/>
      <c r="P41" s="23"/>
      <c r="Q41" s="23"/>
      <c r="R41" s="23"/>
      <c r="S41" s="23"/>
      <c r="T41" s="23"/>
      <c r="U41" s="23" t="s">
        <v>7</v>
      </c>
      <c r="V41" s="23" t="s">
        <v>7</v>
      </c>
      <c r="W41" s="23" t="s">
        <v>7</v>
      </c>
      <c r="X41" s="23" t="s">
        <v>7</v>
      </c>
      <c r="Y41" s="23" t="b">
        <v>0</v>
      </c>
      <c r="Z41" s="23" t="b">
        <v>0</v>
      </c>
      <c r="AA41" s="26" t="s">
        <v>8</v>
      </c>
      <c r="AB41" s="23" t="b">
        <v>0</v>
      </c>
      <c r="AC41" s="26"/>
      <c r="AD41" s="23">
        <v>0</v>
      </c>
      <c r="AE41" s="23" t="b">
        <v>0</v>
      </c>
      <c r="AF41" s="23"/>
      <c r="AG41" s="23"/>
      <c r="AH41" s="23"/>
      <c r="AI41" s="23"/>
      <c r="AJ41" s="23" t="s">
        <v>10</v>
      </c>
      <c r="AK41" s="23"/>
      <c r="AL41" s="26"/>
      <c r="AM41" s="23"/>
      <c r="AN41" s="26"/>
      <c r="AO41" s="23"/>
      <c r="AP41" s="23" t="s">
        <v>11</v>
      </c>
      <c r="AQ41" s="23" t="s">
        <v>17</v>
      </c>
      <c r="AR41" s="26"/>
      <c r="AS41" s="23">
        <v>24694175</v>
      </c>
      <c r="AT41" s="26">
        <v>283497780</v>
      </c>
      <c r="AU41" s="23" t="s">
        <v>13</v>
      </c>
      <c r="AV41" s="23" t="b">
        <v>1</v>
      </c>
      <c r="AW41" s="26" t="s">
        <v>14</v>
      </c>
      <c r="AX41" s="26">
        <v>42219.117361111108</v>
      </c>
      <c r="AY41" s="26" t="s">
        <v>14</v>
      </c>
      <c r="AZ41" s="26">
        <v>42219.117361111108</v>
      </c>
      <c r="BB41" s="9" t="str">
        <f t="shared" si="4"/>
        <v>No</v>
      </c>
      <c r="BC41" s="9" t="str">
        <f>IF(EFB!$N41=Table1[[#This Row],[ProgramTitle]],"Yes","No")</f>
        <v>Yes</v>
      </c>
      <c r="BD41" s="9" t="str">
        <f>IF(EFB!$S41=Table1[[#This Row],[SeriesEpisodeTitle]],"Yes","No")</f>
        <v>Yes</v>
      </c>
      <c r="BE41" s="11">
        <f t="shared" si="2"/>
        <v>4.1666666666666664E-2</v>
      </c>
      <c r="BF41" s="11">
        <f t="shared" si="3"/>
        <v>0</v>
      </c>
      <c r="BH41" s="21">
        <f>Table1[[#This Row],[StartTime]]+$BG$2</f>
        <v>4.1666666666666664E-2</v>
      </c>
    </row>
    <row r="42" spans="1:60" x14ac:dyDescent="0.25">
      <c r="A42" s="16"/>
      <c r="B42" s="2"/>
      <c r="C42" s="17">
        <f t="shared" si="0"/>
        <v>4.1666666666666664E-2</v>
      </c>
      <c r="D42" s="16"/>
      <c r="E42" s="16"/>
      <c r="G42" s="23"/>
      <c r="H42" s="23"/>
      <c r="I42" s="23"/>
      <c r="J42" s="24"/>
      <c r="K42" s="24"/>
      <c r="L42" s="25"/>
      <c r="M42" s="25"/>
      <c r="N42" s="23"/>
      <c r="O42" s="23"/>
      <c r="P42" s="23"/>
      <c r="Q42" s="23"/>
      <c r="R42" s="23"/>
      <c r="S42" s="23"/>
      <c r="T42" s="23"/>
      <c r="U42" s="23" t="s">
        <v>7</v>
      </c>
      <c r="V42" s="23" t="s">
        <v>7</v>
      </c>
      <c r="W42" s="23" t="s">
        <v>7</v>
      </c>
      <c r="X42" s="23" t="s">
        <v>7</v>
      </c>
      <c r="Y42" s="23" t="b">
        <v>0</v>
      </c>
      <c r="Z42" s="23" t="b">
        <v>0</v>
      </c>
      <c r="AA42" s="26" t="s">
        <v>8</v>
      </c>
      <c r="AB42" s="23" t="b">
        <v>0</v>
      </c>
      <c r="AC42" s="26"/>
      <c r="AD42" s="23">
        <v>0</v>
      </c>
      <c r="AE42" s="23" t="b">
        <v>0</v>
      </c>
      <c r="AF42" s="23"/>
      <c r="AG42" s="23"/>
      <c r="AH42" s="23"/>
      <c r="AI42" s="23"/>
      <c r="AJ42" s="23" t="s">
        <v>10</v>
      </c>
      <c r="AK42" s="23"/>
      <c r="AL42" s="26"/>
      <c r="AM42" s="23"/>
      <c r="AN42" s="26"/>
      <c r="AO42" s="23"/>
      <c r="AP42" s="23" t="s">
        <v>11</v>
      </c>
      <c r="AQ42" s="23" t="s">
        <v>17</v>
      </c>
      <c r="AR42" s="26"/>
      <c r="AS42" s="23">
        <v>27580013</v>
      </c>
      <c r="AT42" s="26">
        <v>283497781</v>
      </c>
      <c r="AU42" s="23" t="s">
        <v>13</v>
      </c>
      <c r="AV42" s="23" t="b">
        <v>1</v>
      </c>
      <c r="AW42" s="26" t="s">
        <v>14</v>
      </c>
      <c r="AX42" s="26">
        <v>42219.117361111108</v>
      </c>
      <c r="AY42" s="26" t="s">
        <v>14</v>
      </c>
      <c r="AZ42" s="26">
        <v>42219.117361111108</v>
      </c>
      <c r="BB42" s="9" t="str">
        <f t="shared" si="4"/>
        <v>No</v>
      </c>
      <c r="BC42" s="9" t="str">
        <f>IF(EFB!$N42=Table1[[#This Row],[ProgramTitle]],"Yes","No")</f>
        <v>Yes</v>
      </c>
      <c r="BD42" s="9" t="str">
        <f>IF(EFB!$S42=Table1[[#This Row],[SeriesEpisodeTitle]],"Yes","No")</f>
        <v>Yes</v>
      </c>
      <c r="BE42" s="11">
        <f t="shared" si="2"/>
        <v>4.1666666666666664E-2</v>
      </c>
      <c r="BF42" s="11">
        <f t="shared" si="3"/>
        <v>0</v>
      </c>
      <c r="BH42" s="21">
        <f>Table1[[#This Row],[StartTime]]+$BG$2</f>
        <v>4.1666666666666664E-2</v>
      </c>
    </row>
    <row r="43" spans="1:60" x14ac:dyDescent="0.25">
      <c r="A43" s="16"/>
      <c r="B43" s="2"/>
      <c r="C43" s="17">
        <f t="shared" si="0"/>
        <v>4.1666666666666664E-2</v>
      </c>
      <c r="D43" s="16"/>
      <c r="E43" s="16"/>
      <c r="G43" s="23"/>
      <c r="H43" s="23"/>
      <c r="I43" s="23"/>
      <c r="J43" s="24"/>
      <c r="K43" s="24"/>
      <c r="L43" s="25"/>
      <c r="M43" s="25"/>
      <c r="N43" s="23"/>
      <c r="O43" s="23"/>
      <c r="P43" s="23"/>
      <c r="Q43" s="23"/>
      <c r="R43" s="23"/>
      <c r="S43" s="23"/>
      <c r="T43" s="23"/>
      <c r="U43" s="23" t="s">
        <v>7</v>
      </c>
      <c r="V43" s="23" t="s">
        <v>7</v>
      </c>
      <c r="W43" s="23" t="s">
        <v>7</v>
      </c>
      <c r="X43" s="23" t="s">
        <v>7</v>
      </c>
      <c r="Y43" s="23" t="b">
        <v>0</v>
      </c>
      <c r="Z43" s="23" t="b">
        <v>0</v>
      </c>
      <c r="AA43" s="26" t="s">
        <v>8</v>
      </c>
      <c r="AB43" s="23" t="b">
        <v>0</v>
      </c>
      <c r="AC43" s="26" t="s">
        <v>73</v>
      </c>
      <c r="AD43" s="23">
        <v>0</v>
      </c>
      <c r="AE43" s="23" t="b">
        <v>0</v>
      </c>
      <c r="AF43" s="23"/>
      <c r="AG43" s="23"/>
      <c r="AH43" s="23"/>
      <c r="AI43" s="23"/>
      <c r="AJ43" s="23" t="s">
        <v>16</v>
      </c>
      <c r="AK43" s="23"/>
      <c r="AL43" s="26"/>
      <c r="AM43" s="23"/>
      <c r="AN43" s="26"/>
      <c r="AO43" s="23"/>
      <c r="AP43" s="23" t="s">
        <v>11</v>
      </c>
      <c r="AQ43" s="23" t="s">
        <v>17</v>
      </c>
      <c r="AR43" s="26"/>
      <c r="AS43" s="23">
        <v>27580034</v>
      </c>
      <c r="AT43" s="26">
        <v>259478861</v>
      </c>
      <c r="AU43" s="23" t="s">
        <v>13</v>
      </c>
      <c r="AV43" s="23" t="b">
        <v>1</v>
      </c>
      <c r="AW43" s="26" t="s">
        <v>72</v>
      </c>
      <c r="AX43" s="26">
        <v>42205.273611111108</v>
      </c>
      <c r="AY43" s="26" t="s">
        <v>72</v>
      </c>
      <c r="AZ43" s="26">
        <v>42205.273611111108</v>
      </c>
      <c r="BB43" s="9" t="str">
        <f t="shared" si="4"/>
        <v>No</v>
      </c>
      <c r="BC43" s="9" t="str">
        <f>IF(EFB!$N43=Table1[[#This Row],[ProgramTitle]],"Yes","No")</f>
        <v>Yes</v>
      </c>
      <c r="BD43" s="9" t="str">
        <f>IF(EFB!$S43=Table1[[#This Row],[SeriesEpisodeTitle]],"Yes","No")</f>
        <v>Yes</v>
      </c>
      <c r="BE43" s="11">
        <f t="shared" si="2"/>
        <v>4.1666666666666664E-2</v>
      </c>
      <c r="BF43" s="11">
        <f t="shared" si="3"/>
        <v>0</v>
      </c>
      <c r="BH43" s="21">
        <f>Table1[[#This Row],[StartTime]]+$BG$2</f>
        <v>4.1666666666666664E-2</v>
      </c>
    </row>
    <row r="44" spans="1:60" x14ac:dyDescent="0.25">
      <c r="A44" s="16"/>
      <c r="B44" s="2"/>
      <c r="C44" s="17">
        <f t="shared" si="0"/>
        <v>4.1666666666666664E-2</v>
      </c>
      <c r="D44" s="16"/>
      <c r="E44" s="16"/>
      <c r="G44" s="23"/>
      <c r="H44" s="23"/>
      <c r="I44" s="23"/>
      <c r="J44" s="24"/>
      <c r="K44" s="29"/>
      <c r="L44" s="30"/>
      <c r="M44" s="30"/>
      <c r="N44" s="31"/>
      <c r="O44" s="31"/>
      <c r="P44" s="31"/>
      <c r="Q44" s="31"/>
      <c r="R44" s="31"/>
      <c r="S44" s="31"/>
      <c r="T44" s="23"/>
      <c r="U44" s="23" t="s">
        <v>7</v>
      </c>
      <c r="V44" s="23" t="s">
        <v>7</v>
      </c>
      <c r="W44" s="23" t="s">
        <v>7</v>
      </c>
      <c r="X44" s="23" t="s">
        <v>7</v>
      </c>
      <c r="Y44" s="23" t="b">
        <v>0</v>
      </c>
      <c r="Z44" s="23" t="b">
        <v>0</v>
      </c>
      <c r="AA44" s="26" t="s">
        <v>8</v>
      </c>
      <c r="AB44" s="23" t="b">
        <v>0</v>
      </c>
      <c r="AC44" s="26" t="s">
        <v>9</v>
      </c>
      <c r="AD44" s="23">
        <v>0</v>
      </c>
      <c r="AE44" s="23" t="b">
        <v>0</v>
      </c>
      <c r="AF44" s="23"/>
      <c r="AG44" s="23"/>
      <c r="AH44" s="23"/>
      <c r="AI44" s="23"/>
      <c r="AJ44" s="23" t="s">
        <v>10</v>
      </c>
      <c r="AK44" s="23"/>
      <c r="AL44" s="26"/>
      <c r="AM44" s="23"/>
      <c r="AN44" s="26"/>
      <c r="AO44" s="23"/>
      <c r="AP44" s="23" t="s">
        <v>11</v>
      </c>
      <c r="AQ44" s="23" t="s">
        <v>12</v>
      </c>
      <c r="AR44" s="26"/>
      <c r="AS44" s="23">
        <v>22808296</v>
      </c>
      <c r="AT44" s="26">
        <v>259478779</v>
      </c>
      <c r="AU44" s="23" t="s">
        <v>13</v>
      </c>
      <c r="AV44" s="23" t="b">
        <v>1</v>
      </c>
      <c r="AW44" s="26" t="s">
        <v>71</v>
      </c>
      <c r="AX44" s="26">
        <v>42205.286111111112</v>
      </c>
      <c r="AY44" s="26" t="s">
        <v>71</v>
      </c>
      <c r="AZ44" s="26">
        <v>42205.286111111112</v>
      </c>
      <c r="BB44" s="9" t="str">
        <f t="shared" si="4"/>
        <v>No</v>
      </c>
      <c r="BC44" s="9" t="str">
        <f>IF(EFB!$N44=Table1[[#This Row],[ProgramTitle]],"Yes","No")</f>
        <v>Yes</v>
      </c>
      <c r="BD44" s="9" t="str">
        <f>IF(EFB!$S44=Table1[[#This Row],[SeriesEpisodeTitle]],"Yes","No")</f>
        <v>Yes</v>
      </c>
      <c r="BE44" s="11">
        <f t="shared" si="2"/>
        <v>4.1666666666666664E-2</v>
      </c>
      <c r="BF44" s="11">
        <f t="shared" si="3"/>
        <v>0</v>
      </c>
      <c r="BH44" s="21">
        <f>Table1[[#This Row],[StartTime]]+$BG$2</f>
        <v>4.1666666666666664E-2</v>
      </c>
    </row>
    <row r="45" spans="1:60" x14ac:dyDescent="0.25">
      <c r="A45" s="16"/>
      <c r="B45" s="2"/>
      <c r="C45" s="17">
        <f t="shared" si="0"/>
        <v>4.1666666666666664E-2</v>
      </c>
      <c r="D45" s="16"/>
      <c r="E45" s="16"/>
      <c r="G45" s="23"/>
      <c r="H45" s="23"/>
      <c r="I45" s="23"/>
      <c r="J45" s="24"/>
      <c r="K45" s="24"/>
      <c r="L45" s="25"/>
      <c r="M45" s="25"/>
      <c r="N45" s="23"/>
      <c r="O45" s="23"/>
      <c r="P45" s="23"/>
      <c r="Q45" s="23"/>
      <c r="R45" s="23"/>
      <c r="S45" s="23"/>
      <c r="T45" s="23"/>
      <c r="U45" s="23" t="s">
        <v>7</v>
      </c>
      <c r="V45" s="23" t="s">
        <v>7</v>
      </c>
      <c r="W45" s="23" t="s">
        <v>7</v>
      </c>
      <c r="X45" s="23" t="s">
        <v>7</v>
      </c>
      <c r="Y45" s="23" t="b">
        <v>0</v>
      </c>
      <c r="Z45" s="23" t="b">
        <v>0</v>
      </c>
      <c r="AA45" s="26" t="s">
        <v>8</v>
      </c>
      <c r="AB45" s="23" t="b">
        <v>0</v>
      </c>
      <c r="AC45" s="26" t="s">
        <v>15</v>
      </c>
      <c r="AD45" s="23">
        <v>0</v>
      </c>
      <c r="AE45" s="23" t="b">
        <v>0</v>
      </c>
      <c r="AF45" s="23"/>
      <c r="AG45" s="23"/>
      <c r="AH45" s="23"/>
      <c r="AI45" s="23"/>
      <c r="AJ45" s="23" t="s">
        <v>10</v>
      </c>
      <c r="AK45" s="23"/>
      <c r="AL45" s="26"/>
      <c r="AM45" s="23"/>
      <c r="AN45" s="26"/>
      <c r="AO45" s="23"/>
      <c r="AP45" s="23" t="s">
        <v>11</v>
      </c>
      <c r="AQ45" s="23" t="s">
        <v>17</v>
      </c>
      <c r="AR45" s="26"/>
      <c r="AS45" s="23">
        <v>15340174</v>
      </c>
      <c r="AT45" s="26">
        <v>259478645</v>
      </c>
      <c r="AU45" s="23" t="s">
        <v>13</v>
      </c>
      <c r="AV45" s="23" t="b">
        <v>1</v>
      </c>
      <c r="AW45" s="26" t="s">
        <v>72</v>
      </c>
      <c r="AX45" s="26">
        <v>42205.273611111108</v>
      </c>
      <c r="AY45" s="26" t="s">
        <v>72</v>
      </c>
      <c r="AZ45" s="26">
        <v>42205.273611111108</v>
      </c>
      <c r="BB45" s="9" t="str">
        <f t="shared" si="4"/>
        <v>No</v>
      </c>
      <c r="BC45" s="9" t="str">
        <f>IF(EFB!$N45=Table1[[#This Row],[ProgramTitle]],"Yes","No")</f>
        <v>Yes</v>
      </c>
      <c r="BD45" s="9" t="str">
        <f>IF(EFB!$S45=Table1[[#This Row],[SeriesEpisodeTitle]],"Yes","No")</f>
        <v>Yes</v>
      </c>
      <c r="BE45" s="11">
        <f t="shared" si="2"/>
        <v>4.1666666666666664E-2</v>
      </c>
      <c r="BF45" s="11">
        <f t="shared" si="3"/>
        <v>0</v>
      </c>
      <c r="BH45" s="21">
        <f>Table1[[#This Row],[StartTime]]+$BG$2</f>
        <v>4.1666666666666664E-2</v>
      </c>
    </row>
    <row r="46" spans="1:60" x14ac:dyDescent="0.25">
      <c r="A46" s="16"/>
      <c r="B46" s="2"/>
      <c r="C46" s="17">
        <f t="shared" si="0"/>
        <v>4.1666666666666664E-2</v>
      </c>
      <c r="D46" s="16"/>
      <c r="E46" s="16"/>
      <c r="G46" s="31"/>
      <c r="H46" s="31"/>
      <c r="I46" s="31"/>
      <c r="J46" s="29"/>
      <c r="K46" s="29"/>
      <c r="L46" s="30"/>
      <c r="M46" s="30"/>
      <c r="N46" s="31"/>
      <c r="O46" s="31"/>
      <c r="P46" s="31"/>
      <c r="Q46" s="31"/>
      <c r="R46" s="31"/>
      <c r="S46" s="31"/>
      <c r="T46" s="31"/>
      <c r="U46" s="31" t="s">
        <v>7</v>
      </c>
      <c r="V46" s="31" t="s">
        <v>7</v>
      </c>
      <c r="W46" s="31" t="s">
        <v>7</v>
      </c>
      <c r="X46" s="31" t="s">
        <v>7</v>
      </c>
      <c r="Y46" s="31" t="b">
        <v>0</v>
      </c>
      <c r="Z46" s="31" t="b">
        <v>0</v>
      </c>
      <c r="AA46" s="32" t="s">
        <v>8</v>
      </c>
      <c r="AB46" s="31" t="b">
        <v>0</v>
      </c>
      <c r="AC46" s="32" t="s">
        <v>15</v>
      </c>
      <c r="AD46" s="31">
        <v>0</v>
      </c>
      <c r="AE46" s="31" t="b">
        <v>0</v>
      </c>
      <c r="AF46" s="31"/>
      <c r="AG46" s="31"/>
      <c r="AH46" s="31"/>
      <c r="AI46" s="31"/>
      <c r="AJ46" s="31" t="s">
        <v>16</v>
      </c>
      <c r="AK46" s="31"/>
      <c r="AL46" s="32"/>
      <c r="AM46" s="31"/>
      <c r="AN46" s="32"/>
      <c r="AO46" s="31"/>
      <c r="AP46" s="31" t="s">
        <v>11</v>
      </c>
      <c r="AQ46" s="31" t="s">
        <v>17</v>
      </c>
      <c r="AR46" s="32"/>
      <c r="AS46" s="31">
        <v>22642711</v>
      </c>
      <c r="AT46" s="32">
        <v>259478776</v>
      </c>
      <c r="AU46" s="31" t="s">
        <v>13</v>
      </c>
      <c r="AV46" s="31" t="b">
        <v>1</v>
      </c>
      <c r="AW46" s="32" t="s">
        <v>72</v>
      </c>
      <c r="AX46" s="32">
        <v>42205.273611111108</v>
      </c>
      <c r="AY46" s="32" t="s">
        <v>72</v>
      </c>
      <c r="AZ46" s="32">
        <v>42205.273611111108</v>
      </c>
      <c r="BB46" s="9" t="str">
        <f t="shared" si="4"/>
        <v>No</v>
      </c>
      <c r="BC46" s="9" t="str">
        <f>IF(EFB!$N46=Table1[[#This Row],[ProgramTitle]],"Yes","No")</f>
        <v>Yes</v>
      </c>
      <c r="BD46" s="9" t="str">
        <f>IF(EFB!$S46=Table1[[#This Row],[SeriesEpisodeTitle]],"Yes","No")</f>
        <v>Yes</v>
      </c>
      <c r="BE46" s="11">
        <f t="shared" si="2"/>
        <v>4.1666666666666664E-2</v>
      </c>
      <c r="BF46" s="11">
        <f t="shared" si="3"/>
        <v>0</v>
      </c>
      <c r="BH46" s="21">
        <f>Table1[[#This Row],[StartTime]]+$BG$2</f>
        <v>4.1666666666666664E-2</v>
      </c>
    </row>
    <row r="47" spans="1:60" s="4" customFormat="1" x14ac:dyDescent="0.25">
      <c r="A47" s="16"/>
      <c r="B47" s="2"/>
      <c r="C47" s="17">
        <f t="shared" si="0"/>
        <v>4.1666666666666664E-2</v>
      </c>
      <c r="D47" s="16"/>
      <c r="E47" s="16"/>
      <c r="F47" s="18"/>
      <c r="G47" s="23"/>
      <c r="H47" s="23"/>
      <c r="I47" s="23"/>
      <c r="J47" s="24"/>
      <c r="K47" s="24"/>
      <c r="L47" s="25"/>
      <c r="M47" s="25"/>
      <c r="N47" s="23"/>
      <c r="O47" s="23"/>
      <c r="P47" s="23"/>
      <c r="Q47" s="23"/>
      <c r="R47" s="23"/>
      <c r="S47" s="23"/>
      <c r="T47" s="23"/>
      <c r="U47" s="23" t="s">
        <v>7</v>
      </c>
      <c r="V47" s="23" t="s">
        <v>7</v>
      </c>
      <c r="W47" s="23" t="s">
        <v>7</v>
      </c>
      <c r="X47" s="23" t="s">
        <v>7</v>
      </c>
      <c r="Y47" s="23" t="b">
        <v>0</v>
      </c>
      <c r="Z47" s="23" t="b">
        <v>0</v>
      </c>
      <c r="AA47" s="26" t="s">
        <v>8</v>
      </c>
      <c r="AB47" s="23" t="b">
        <v>0</v>
      </c>
      <c r="AC47" s="26" t="s">
        <v>15</v>
      </c>
      <c r="AD47" s="23">
        <v>0</v>
      </c>
      <c r="AE47" s="23" t="b">
        <v>0</v>
      </c>
      <c r="AF47" s="23"/>
      <c r="AG47" s="23"/>
      <c r="AH47" s="23"/>
      <c r="AI47" s="23"/>
      <c r="AJ47" s="23" t="s">
        <v>16</v>
      </c>
      <c r="AK47" s="23"/>
      <c r="AL47" s="26"/>
      <c r="AM47" s="23"/>
      <c r="AN47" s="26"/>
      <c r="AO47" s="23"/>
      <c r="AP47" s="23" t="s">
        <v>11</v>
      </c>
      <c r="AQ47" s="23" t="s">
        <v>17</v>
      </c>
      <c r="AR47" s="26"/>
      <c r="AS47" s="23">
        <v>24324661</v>
      </c>
      <c r="AT47" s="26">
        <v>259478794</v>
      </c>
      <c r="AU47" s="23" t="s">
        <v>13</v>
      </c>
      <c r="AV47" s="23" t="b">
        <v>1</v>
      </c>
      <c r="AW47" s="26" t="s">
        <v>72</v>
      </c>
      <c r="AX47" s="26">
        <v>42205.273611111108</v>
      </c>
      <c r="AY47" s="26" t="s">
        <v>72</v>
      </c>
      <c r="AZ47" s="26">
        <v>42205.273611111108</v>
      </c>
      <c r="BA47" s="1"/>
      <c r="BB47" s="9" t="str">
        <f t="shared" si="4"/>
        <v>No</v>
      </c>
      <c r="BC47" s="9" t="str">
        <f>IF(EFB!$N47=Table1[[#This Row],[ProgramTitle]],"Yes","No")</f>
        <v>Yes</v>
      </c>
      <c r="BD47" s="9" t="str">
        <f>IF(EFB!$S47=Table1[[#This Row],[SeriesEpisodeTitle]],"Yes","No")</f>
        <v>Yes</v>
      </c>
      <c r="BE47" s="11">
        <f t="shared" si="2"/>
        <v>4.1666666666666664E-2</v>
      </c>
      <c r="BF47" s="11">
        <f t="shared" si="3"/>
        <v>0</v>
      </c>
      <c r="BH47" s="21">
        <f>Table1[[#This Row],[StartTime]]+$BG$2</f>
        <v>4.1666666666666664E-2</v>
      </c>
    </row>
    <row r="48" spans="1:60" x14ac:dyDescent="0.25">
      <c r="A48" s="16"/>
      <c r="B48" s="2"/>
      <c r="C48" s="17">
        <f t="shared" si="0"/>
        <v>4.1666666666666664E-2</v>
      </c>
      <c r="D48" s="16"/>
      <c r="E48" s="16"/>
      <c r="G48" s="31"/>
      <c r="H48" s="31"/>
      <c r="I48" s="31"/>
      <c r="J48" s="29"/>
      <c r="K48" s="24"/>
      <c r="L48" s="25"/>
      <c r="M48" s="25"/>
      <c r="N48" s="23"/>
      <c r="O48" s="23"/>
      <c r="P48" s="23"/>
      <c r="Q48" s="23"/>
      <c r="R48" s="23"/>
      <c r="S48" s="23"/>
      <c r="T48" s="31"/>
      <c r="U48" s="31" t="s">
        <v>7</v>
      </c>
      <c r="V48" s="31" t="s">
        <v>7</v>
      </c>
      <c r="W48" s="31" t="s">
        <v>7</v>
      </c>
      <c r="X48" s="31" t="s">
        <v>7</v>
      </c>
      <c r="Y48" s="31" t="b">
        <v>0</v>
      </c>
      <c r="Z48" s="31" t="b">
        <v>0</v>
      </c>
      <c r="AA48" s="32" t="s">
        <v>8</v>
      </c>
      <c r="AB48" s="31" t="b">
        <v>0</v>
      </c>
      <c r="AC48" s="32" t="s">
        <v>15</v>
      </c>
      <c r="AD48" s="31">
        <v>0</v>
      </c>
      <c r="AE48" s="31" t="b">
        <v>0</v>
      </c>
      <c r="AF48" s="31"/>
      <c r="AG48" s="31"/>
      <c r="AH48" s="31"/>
      <c r="AI48" s="31"/>
      <c r="AJ48" s="31" t="s">
        <v>16</v>
      </c>
      <c r="AK48" s="31"/>
      <c r="AL48" s="32"/>
      <c r="AM48" s="31"/>
      <c r="AN48" s="32"/>
      <c r="AO48" s="31"/>
      <c r="AP48" s="31" t="s">
        <v>11</v>
      </c>
      <c r="AQ48" s="31" t="s">
        <v>17</v>
      </c>
      <c r="AR48" s="32"/>
      <c r="AS48" s="31">
        <v>24324654</v>
      </c>
      <c r="AT48" s="32">
        <v>259478789</v>
      </c>
      <c r="AU48" s="31" t="s">
        <v>13</v>
      </c>
      <c r="AV48" s="31" t="b">
        <v>1</v>
      </c>
      <c r="AW48" s="32" t="s">
        <v>72</v>
      </c>
      <c r="AX48" s="32">
        <v>42205.273611111108</v>
      </c>
      <c r="AY48" s="32" t="s">
        <v>72</v>
      </c>
      <c r="AZ48" s="32">
        <v>42205.273611111108</v>
      </c>
      <c r="BB48" s="9" t="str">
        <f t="shared" si="4"/>
        <v>No</v>
      </c>
      <c r="BC48" s="9" t="str">
        <f>IF(EFB!$N48=Table1[[#This Row],[ProgramTitle]],"Yes","No")</f>
        <v>Yes</v>
      </c>
      <c r="BD48" s="9" t="str">
        <f>IF(EFB!$S48=Table1[[#This Row],[SeriesEpisodeTitle]],"Yes","No")</f>
        <v>Yes</v>
      </c>
      <c r="BE48" s="11">
        <f t="shared" si="2"/>
        <v>4.1666666666666664E-2</v>
      </c>
      <c r="BF48" s="11">
        <f t="shared" si="3"/>
        <v>0</v>
      </c>
      <c r="BH48" s="21">
        <f>Table1[[#This Row],[StartTime]]+$BG$2</f>
        <v>4.1666666666666664E-2</v>
      </c>
    </row>
    <row r="49" spans="1:60" s="4" customFormat="1" x14ac:dyDescent="0.25">
      <c r="A49" s="16"/>
      <c r="B49" s="2"/>
      <c r="C49" s="17">
        <f t="shared" si="0"/>
        <v>4.1666666666666664E-2</v>
      </c>
      <c r="D49" s="16"/>
      <c r="E49" s="16"/>
      <c r="F49" s="18"/>
      <c r="G49" s="23"/>
      <c r="H49" s="23"/>
      <c r="I49" s="23"/>
      <c r="J49" s="25"/>
      <c r="K49" s="24"/>
      <c r="L49" s="25"/>
      <c r="M49" s="25"/>
      <c r="N49" s="23"/>
      <c r="O49" s="23"/>
      <c r="P49" s="23"/>
      <c r="Q49" s="23"/>
      <c r="R49" s="23"/>
      <c r="S49" s="23"/>
      <c r="T49" s="23"/>
      <c r="U49" s="23" t="s">
        <v>7</v>
      </c>
      <c r="V49" s="23" t="s">
        <v>7</v>
      </c>
      <c r="W49" s="23" t="s">
        <v>7</v>
      </c>
      <c r="X49" s="23" t="s">
        <v>7</v>
      </c>
      <c r="Y49" s="23" t="b">
        <v>0</v>
      </c>
      <c r="Z49" s="23" t="b">
        <v>0</v>
      </c>
      <c r="AA49" s="26" t="s">
        <v>8</v>
      </c>
      <c r="AB49" s="23" t="b">
        <v>0</v>
      </c>
      <c r="AC49" s="26" t="s">
        <v>73</v>
      </c>
      <c r="AD49" s="23">
        <v>0</v>
      </c>
      <c r="AE49" s="23" t="b">
        <v>0</v>
      </c>
      <c r="AF49" s="23"/>
      <c r="AG49" s="23"/>
      <c r="AH49" s="23"/>
      <c r="AI49" s="23"/>
      <c r="AJ49" s="23" t="s">
        <v>16</v>
      </c>
      <c r="AK49" s="23"/>
      <c r="AL49" s="23"/>
      <c r="AM49" s="23"/>
      <c r="AN49" s="23"/>
      <c r="AO49" s="23"/>
      <c r="AP49" s="23" t="s">
        <v>11</v>
      </c>
      <c r="AQ49" s="23" t="s">
        <v>17</v>
      </c>
      <c r="AR49" s="26"/>
      <c r="AS49" s="23">
        <v>27580034</v>
      </c>
      <c r="AT49" s="26">
        <v>259478864</v>
      </c>
      <c r="AU49" s="23" t="s">
        <v>13</v>
      </c>
      <c r="AV49" s="23" t="b">
        <v>1</v>
      </c>
      <c r="AW49" s="26" t="s">
        <v>72</v>
      </c>
      <c r="AX49" s="26">
        <v>42205.273611111108</v>
      </c>
      <c r="AY49" s="26" t="s">
        <v>14</v>
      </c>
      <c r="AZ49" s="26">
        <v>42220.113888888889</v>
      </c>
      <c r="BA49" s="1"/>
      <c r="BB49" s="9" t="str">
        <f t="shared" si="4"/>
        <v>No</v>
      </c>
      <c r="BC49" s="9" t="str">
        <f>IF(EFB!$N49=Table1[[#This Row],[ProgramTitle]],"Yes","No")</f>
        <v>Yes</v>
      </c>
      <c r="BD49" s="9" t="str">
        <f>IF(EFB!$S49=Table1[[#This Row],[SeriesEpisodeTitle]],"Yes","No")</f>
        <v>Yes</v>
      </c>
      <c r="BE49" s="11">
        <f t="shared" si="2"/>
        <v>4.1666666666666664E-2</v>
      </c>
      <c r="BF49" s="11">
        <f t="shared" si="3"/>
        <v>0</v>
      </c>
      <c r="BH49" s="21">
        <f>Table1[[#This Row],[StartTime]]+$BG$2</f>
        <v>4.1666666666666664E-2</v>
      </c>
    </row>
    <row r="50" spans="1:60" x14ac:dyDescent="0.25">
      <c r="A50" s="16"/>
      <c r="B50" s="2"/>
      <c r="C50" s="17">
        <f t="shared" si="0"/>
        <v>4.1666666666666664E-2</v>
      </c>
      <c r="D50" s="16"/>
      <c r="E50" s="16"/>
      <c r="G50" s="23"/>
      <c r="H50" s="23"/>
      <c r="I50" s="23"/>
      <c r="J50" s="25"/>
      <c r="K50" s="24"/>
      <c r="L50" s="25"/>
      <c r="M50" s="25"/>
      <c r="N50" s="23"/>
      <c r="O50" s="23"/>
      <c r="P50" s="23"/>
      <c r="Q50" s="23"/>
      <c r="R50" s="23"/>
      <c r="S50" s="23"/>
      <c r="T50" s="23"/>
      <c r="U50" s="23" t="s">
        <v>7</v>
      </c>
      <c r="V50" s="23" t="s">
        <v>7</v>
      </c>
      <c r="W50" s="23" t="s">
        <v>7</v>
      </c>
      <c r="X50" s="23" t="s">
        <v>7</v>
      </c>
      <c r="Y50" s="23" t="b">
        <v>0</v>
      </c>
      <c r="Z50" s="23" t="b">
        <v>0</v>
      </c>
      <c r="AA50" s="26" t="s">
        <v>8</v>
      </c>
      <c r="AB50" s="23" t="b">
        <v>0</v>
      </c>
      <c r="AC50" s="26" t="s">
        <v>15</v>
      </c>
      <c r="AD50" s="23">
        <v>0</v>
      </c>
      <c r="AE50" s="23" t="b">
        <v>0</v>
      </c>
      <c r="AF50" s="23"/>
      <c r="AG50" s="23"/>
      <c r="AH50" s="23"/>
      <c r="AI50" s="23"/>
      <c r="AJ50" s="23" t="s">
        <v>10</v>
      </c>
      <c r="AK50" s="23"/>
      <c r="AL50" s="23"/>
      <c r="AM50" s="23"/>
      <c r="AN50" s="23"/>
      <c r="AO50" s="23"/>
      <c r="AP50" s="23" t="s">
        <v>11</v>
      </c>
      <c r="AQ50" s="23" t="s">
        <v>17</v>
      </c>
      <c r="AR50" s="26"/>
      <c r="AS50" s="23">
        <v>15340174</v>
      </c>
      <c r="AT50" s="26">
        <v>259478646</v>
      </c>
      <c r="AU50" s="23" t="s">
        <v>13</v>
      </c>
      <c r="AV50" s="23" t="b">
        <v>1</v>
      </c>
      <c r="AW50" s="26" t="s">
        <v>72</v>
      </c>
      <c r="AX50" s="26">
        <v>42205.273611111108</v>
      </c>
      <c r="AY50" s="26" t="s">
        <v>72</v>
      </c>
      <c r="AZ50" s="26">
        <v>42205.273611111108</v>
      </c>
      <c r="BB50" s="9" t="str">
        <f t="shared" si="4"/>
        <v>No</v>
      </c>
      <c r="BC50" s="9" t="str">
        <f>IF(EFB!$N50=Table1[[#This Row],[ProgramTitle]],"Yes","No")</f>
        <v>Yes</v>
      </c>
      <c r="BD50" s="9" t="str">
        <f>IF(EFB!$S50=Table1[[#This Row],[SeriesEpisodeTitle]],"Yes","No")</f>
        <v>Yes</v>
      </c>
      <c r="BE50" s="11">
        <f t="shared" si="2"/>
        <v>4.1666666666666664E-2</v>
      </c>
      <c r="BF50" s="11">
        <f t="shared" si="3"/>
        <v>0</v>
      </c>
      <c r="BH50" s="21">
        <f>Table1[[#This Row],[StartTime]]+$BG$2</f>
        <v>4.1666666666666664E-2</v>
      </c>
    </row>
    <row r="51" spans="1:60" x14ac:dyDescent="0.25">
      <c r="A51" s="16"/>
      <c r="B51" s="2"/>
      <c r="C51" s="17">
        <f t="shared" si="0"/>
        <v>4.1666666666666664E-2</v>
      </c>
      <c r="D51" s="16"/>
      <c r="E51" s="16"/>
      <c r="G51" s="23"/>
      <c r="H51" s="23"/>
      <c r="I51" s="23"/>
      <c r="J51" s="25"/>
      <c r="K51" s="24"/>
      <c r="L51" s="25"/>
      <c r="M51" s="25"/>
      <c r="N51" s="23"/>
      <c r="O51" s="23"/>
      <c r="P51" s="23"/>
      <c r="Q51" s="23"/>
      <c r="R51" s="23"/>
      <c r="S51" s="23"/>
      <c r="T51" s="23"/>
      <c r="U51" s="23" t="s">
        <v>7</v>
      </c>
      <c r="V51" s="23" t="s">
        <v>7</v>
      </c>
      <c r="W51" s="23" t="s">
        <v>7</v>
      </c>
      <c r="X51" s="23" t="s">
        <v>7</v>
      </c>
      <c r="Y51" s="23" t="b">
        <v>0</v>
      </c>
      <c r="Z51" s="23" t="b">
        <v>0</v>
      </c>
      <c r="AA51" s="26" t="s">
        <v>8</v>
      </c>
      <c r="AB51" s="23" t="b">
        <v>0</v>
      </c>
      <c r="AC51" s="26" t="s">
        <v>74</v>
      </c>
      <c r="AD51" s="23">
        <v>0</v>
      </c>
      <c r="AE51" s="23" t="b">
        <v>0</v>
      </c>
      <c r="AF51" s="23"/>
      <c r="AG51" s="23"/>
      <c r="AH51" s="23"/>
      <c r="AI51" s="23"/>
      <c r="AJ51" s="23" t="s">
        <v>16</v>
      </c>
      <c r="AK51" s="23"/>
      <c r="AL51" s="23"/>
      <c r="AM51" s="23"/>
      <c r="AN51" s="23"/>
      <c r="AO51" s="23"/>
      <c r="AP51" s="23" t="s">
        <v>11</v>
      </c>
      <c r="AQ51" s="23" t="s">
        <v>17</v>
      </c>
      <c r="AR51" s="26"/>
      <c r="AS51" s="23">
        <v>27580025</v>
      </c>
      <c r="AT51" s="26">
        <v>259702272</v>
      </c>
      <c r="AU51" s="23" t="s">
        <v>13</v>
      </c>
      <c r="AV51" s="23" t="b">
        <v>1</v>
      </c>
      <c r="AW51" s="26" t="s">
        <v>72</v>
      </c>
      <c r="AX51" s="26">
        <v>42205.273611111108</v>
      </c>
      <c r="AY51" s="26" t="s">
        <v>72</v>
      </c>
      <c r="AZ51" s="26">
        <v>42205.273611111108</v>
      </c>
      <c r="BB51" s="9" t="str">
        <f t="shared" si="4"/>
        <v>No</v>
      </c>
      <c r="BC51" s="9" t="str">
        <f>IF(EFB!$N51=Table1[[#This Row],[ProgramTitle]],"Yes","No")</f>
        <v>Yes</v>
      </c>
      <c r="BD51" s="9" t="str">
        <f>IF(EFB!$S51=Table1[[#This Row],[SeriesEpisodeTitle]],"Yes","No")</f>
        <v>Yes</v>
      </c>
      <c r="BE51" s="11">
        <f t="shared" si="2"/>
        <v>4.1666666666666664E-2</v>
      </c>
      <c r="BF51" s="11">
        <f t="shared" si="3"/>
        <v>0</v>
      </c>
      <c r="BH51" s="21">
        <f>Table1[[#This Row],[StartTime]]+$BG$2</f>
        <v>4.1666666666666664E-2</v>
      </c>
    </row>
    <row r="52" spans="1:60" x14ac:dyDescent="0.25">
      <c r="A52" s="16"/>
      <c r="B52" s="2"/>
      <c r="C52" s="17">
        <f t="shared" si="0"/>
        <v>4.1666666666666664E-2</v>
      </c>
      <c r="D52" s="16"/>
      <c r="E52" s="16"/>
      <c r="G52" s="23"/>
      <c r="H52" s="23"/>
      <c r="I52" s="23"/>
      <c r="J52" s="25"/>
      <c r="K52" s="24"/>
      <c r="L52" s="25"/>
      <c r="M52" s="25"/>
      <c r="N52" s="23"/>
      <c r="O52" s="23"/>
      <c r="P52" s="23"/>
      <c r="Q52" s="23"/>
      <c r="R52" s="23"/>
      <c r="S52" s="23"/>
      <c r="T52" s="23"/>
      <c r="U52" s="23" t="s">
        <v>7</v>
      </c>
      <c r="V52" s="23" t="s">
        <v>7</v>
      </c>
      <c r="W52" s="23" t="s">
        <v>7</v>
      </c>
      <c r="X52" s="23" t="s">
        <v>7</v>
      </c>
      <c r="Y52" s="23" t="b">
        <v>0</v>
      </c>
      <c r="Z52" s="23" t="b">
        <v>0</v>
      </c>
      <c r="AA52" s="26" t="s">
        <v>8</v>
      </c>
      <c r="AB52" s="23" t="b">
        <v>0</v>
      </c>
      <c r="AC52" s="26" t="s">
        <v>70</v>
      </c>
      <c r="AD52" s="23">
        <v>0</v>
      </c>
      <c r="AE52" s="23" t="b">
        <v>0</v>
      </c>
      <c r="AF52" s="23"/>
      <c r="AG52" s="23"/>
      <c r="AH52" s="23"/>
      <c r="AI52" s="23"/>
      <c r="AJ52" s="23" t="s">
        <v>16</v>
      </c>
      <c r="AK52" s="23"/>
      <c r="AL52" s="23"/>
      <c r="AM52" s="23"/>
      <c r="AN52" s="23"/>
      <c r="AO52" s="23"/>
      <c r="AP52" s="23" t="s">
        <v>11</v>
      </c>
      <c r="AQ52" s="23" t="s">
        <v>17</v>
      </c>
      <c r="AR52" s="26"/>
      <c r="AS52" s="23">
        <v>17359081</v>
      </c>
      <c r="AT52" s="26">
        <v>259478688</v>
      </c>
      <c r="AU52" s="23" t="s">
        <v>13</v>
      </c>
      <c r="AV52" s="23" t="b">
        <v>1</v>
      </c>
      <c r="AW52" s="26" t="s">
        <v>72</v>
      </c>
      <c r="AX52" s="26">
        <v>42205.273611111108</v>
      </c>
      <c r="AY52" s="26" t="s">
        <v>72</v>
      </c>
      <c r="AZ52" s="26">
        <v>42205.273611111108</v>
      </c>
      <c r="BB52" s="9" t="str">
        <f t="shared" si="4"/>
        <v>No</v>
      </c>
      <c r="BC52" s="9" t="str">
        <f>IF(EFB!$N52=Table1[[#This Row],[ProgramTitle]],"Yes","No")</f>
        <v>Yes</v>
      </c>
      <c r="BD52" s="9" t="str">
        <f>IF(EFB!$S52=Table1[[#This Row],[SeriesEpisodeTitle]],"Yes","No")</f>
        <v>Yes</v>
      </c>
      <c r="BE52" s="11">
        <f t="shared" si="2"/>
        <v>4.1666666666666664E-2</v>
      </c>
      <c r="BF52" s="11">
        <f t="shared" si="3"/>
        <v>0</v>
      </c>
      <c r="BH52" s="21">
        <f>Table1[[#This Row],[StartTime]]+$BG$2</f>
        <v>4.1666666666666664E-2</v>
      </c>
    </row>
    <row r="53" spans="1:60" x14ac:dyDescent="0.25">
      <c r="A53" s="16"/>
      <c r="B53" s="2"/>
      <c r="C53" s="17">
        <f t="shared" si="0"/>
        <v>4.1666666666666664E-2</v>
      </c>
      <c r="D53" s="16"/>
      <c r="E53" s="16"/>
      <c r="G53" s="23"/>
      <c r="H53" s="23"/>
      <c r="I53" s="23"/>
      <c r="J53" s="25"/>
      <c r="K53" s="24"/>
      <c r="L53" s="25"/>
      <c r="M53" s="25"/>
      <c r="N53" s="23"/>
      <c r="O53" s="23"/>
      <c r="P53" s="23"/>
      <c r="Q53" s="23"/>
      <c r="R53" s="23"/>
      <c r="S53" s="23"/>
      <c r="T53" s="23"/>
      <c r="U53" s="23" t="s">
        <v>7</v>
      </c>
      <c r="V53" s="23" t="s">
        <v>7</v>
      </c>
      <c r="W53" s="23" t="s">
        <v>7</v>
      </c>
      <c r="X53" s="23" t="s">
        <v>7</v>
      </c>
      <c r="Y53" s="23" t="b">
        <v>0</v>
      </c>
      <c r="Z53" s="23" t="b">
        <v>0</v>
      </c>
      <c r="AA53" s="26" t="s">
        <v>8</v>
      </c>
      <c r="AB53" s="23" t="b">
        <v>0</v>
      </c>
      <c r="AC53" s="26" t="s">
        <v>15</v>
      </c>
      <c r="AD53" s="23">
        <v>0</v>
      </c>
      <c r="AE53" s="23" t="b">
        <v>0</v>
      </c>
      <c r="AF53" s="23"/>
      <c r="AG53" s="23"/>
      <c r="AH53" s="23"/>
      <c r="AI53" s="23"/>
      <c r="AJ53" s="23" t="s">
        <v>16</v>
      </c>
      <c r="AK53" s="23"/>
      <c r="AL53" s="23"/>
      <c r="AM53" s="23"/>
      <c r="AN53" s="23"/>
      <c r="AO53" s="23"/>
      <c r="AP53" s="23" t="s">
        <v>11</v>
      </c>
      <c r="AQ53" s="23" t="s">
        <v>17</v>
      </c>
      <c r="AR53" s="26"/>
      <c r="AS53" s="23">
        <v>22642711</v>
      </c>
      <c r="AT53" s="26">
        <v>259478775</v>
      </c>
      <c r="AU53" s="23" t="s">
        <v>13</v>
      </c>
      <c r="AV53" s="23" t="b">
        <v>1</v>
      </c>
      <c r="AW53" s="26" t="s">
        <v>72</v>
      </c>
      <c r="AX53" s="26">
        <v>42205.273611111108</v>
      </c>
      <c r="AY53" s="26" t="s">
        <v>72</v>
      </c>
      <c r="AZ53" s="26">
        <v>42205.273611111108</v>
      </c>
      <c r="BB53" s="9" t="str">
        <f t="shared" si="4"/>
        <v>No</v>
      </c>
      <c r="BC53" s="9" t="str">
        <f>IF(EFB!$N53=Table1[[#This Row],[ProgramTitle]],"Yes","No")</f>
        <v>Yes</v>
      </c>
      <c r="BD53" s="9" t="str">
        <f>IF(EFB!$S53=Table1[[#This Row],[SeriesEpisodeTitle]],"Yes","No")</f>
        <v>Yes</v>
      </c>
      <c r="BE53" s="11">
        <f t="shared" si="2"/>
        <v>4.1666666666666664E-2</v>
      </c>
      <c r="BF53" s="11">
        <f t="shared" si="3"/>
        <v>0</v>
      </c>
      <c r="BH53" s="21">
        <f>Table1[[#This Row],[StartTime]]+$BG$2</f>
        <v>4.1666666666666664E-2</v>
      </c>
    </row>
    <row r="54" spans="1:60" x14ac:dyDescent="0.25">
      <c r="A54" s="16"/>
      <c r="B54" s="2"/>
      <c r="C54" s="17">
        <f t="shared" si="0"/>
        <v>4.1666666666666664E-2</v>
      </c>
      <c r="D54" s="16"/>
      <c r="E54" s="16"/>
      <c r="G54" s="23"/>
      <c r="H54" s="23"/>
      <c r="I54" s="23"/>
      <c r="J54" s="25"/>
      <c r="K54" s="24"/>
      <c r="L54" s="25"/>
      <c r="M54" s="25"/>
      <c r="N54" s="23"/>
      <c r="O54" s="23"/>
      <c r="P54" s="23"/>
      <c r="Q54" s="23"/>
      <c r="R54" s="23"/>
      <c r="S54" s="23"/>
      <c r="T54" s="23"/>
      <c r="U54" s="23" t="s">
        <v>7</v>
      </c>
      <c r="V54" s="23" t="s">
        <v>7</v>
      </c>
      <c r="W54" s="23" t="s">
        <v>7</v>
      </c>
      <c r="X54" s="23" t="s">
        <v>7</v>
      </c>
      <c r="Y54" s="23" t="b">
        <v>0</v>
      </c>
      <c r="Z54" s="23" t="b">
        <v>0</v>
      </c>
      <c r="AA54" s="26" t="s">
        <v>8</v>
      </c>
      <c r="AB54" s="23" t="b">
        <v>0</v>
      </c>
      <c r="AC54" s="26" t="s">
        <v>70</v>
      </c>
      <c r="AD54" s="23">
        <v>0</v>
      </c>
      <c r="AE54" s="23" t="b">
        <v>0</v>
      </c>
      <c r="AF54" s="23"/>
      <c r="AG54" s="23"/>
      <c r="AH54" s="23"/>
      <c r="AI54" s="23"/>
      <c r="AJ54" s="23" t="s">
        <v>16</v>
      </c>
      <c r="AK54" s="23"/>
      <c r="AL54" s="23"/>
      <c r="AM54" s="23"/>
      <c r="AN54" s="23"/>
      <c r="AO54" s="23"/>
      <c r="AP54" s="23" t="s">
        <v>11</v>
      </c>
      <c r="AQ54" s="23" t="s">
        <v>17</v>
      </c>
      <c r="AR54" s="26"/>
      <c r="AS54" s="23">
        <v>17359083</v>
      </c>
      <c r="AT54" s="26">
        <v>259478703</v>
      </c>
      <c r="AU54" s="23" t="s">
        <v>13</v>
      </c>
      <c r="AV54" s="23" t="b">
        <v>1</v>
      </c>
      <c r="AW54" s="26" t="s">
        <v>72</v>
      </c>
      <c r="AX54" s="26">
        <v>42205.273611111108</v>
      </c>
      <c r="AY54" s="26" t="s">
        <v>72</v>
      </c>
      <c r="AZ54" s="26">
        <v>42205.273611111108</v>
      </c>
      <c r="BB54" s="9" t="str">
        <f t="shared" si="4"/>
        <v>No</v>
      </c>
      <c r="BC54" s="9" t="str">
        <f>IF(EFB!$N54=Table1[[#This Row],[ProgramTitle]],"Yes","No")</f>
        <v>Yes</v>
      </c>
      <c r="BD54" s="9" t="str">
        <f>IF(EFB!$S54=Table1[[#This Row],[SeriesEpisodeTitle]],"Yes","No")</f>
        <v>Yes</v>
      </c>
      <c r="BE54" s="11">
        <f t="shared" si="2"/>
        <v>4.1666666666666664E-2</v>
      </c>
      <c r="BF54" s="11">
        <f t="shared" si="3"/>
        <v>0</v>
      </c>
      <c r="BH54" s="21">
        <f>Table1[[#This Row],[StartTime]]+$BG$2</f>
        <v>4.1666666666666664E-2</v>
      </c>
    </row>
    <row r="55" spans="1:60" x14ac:dyDescent="0.25">
      <c r="A55" s="16"/>
      <c r="B55" s="2"/>
      <c r="C55" s="17">
        <f t="shared" si="0"/>
        <v>4.1666666666666664E-2</v>
      </c>
      <c r="D55" s="16"/>
      <c r="E55" s="16"/>
      <c r="G55" s="23"/>
      <c r="H55" s="23"/>
      <c r="I55" s="23"/>
      <c r="J55" s="25"/>
      <c r="K55" s="24"/>
      <c r="L55" s="25"/>
      <c r="M55" s="25"/>
      <c r="N55" s="23"/>
      <c r="O55" s="23"/>
      <c r="P55" s="23"/>
      <c r="Q55" s="23"/>
      <c r="R55" s="23"/>
      <c r="S55" s="23"/>
      <c r="T55" s="23"/>
      <c r="U55" s="23" t="s">
        <v>7</v>
      </c>
      <c r="V55" s="23" t="s">
        <v>7</v>
      </c>
      <c r="W55" s="23" t="s">
        <v>7</v>
      </c>
      <c r="X55" s="23" t="s">
        <v>7</v>
      </c>
      <c r="Y55" s="23" t="b">
        <v>0</v>
      </c>
      <c r="Z55" s="23" t="b">
        <v>0</v>
      </c>
      <c r="AA55" s="26" t="s">
        <v>8</v>
      </c>
      <c r="AB55" s="23" t="b">
        <v>0</v>
      </c>
      <c r="AC55" s="26" t="s">
        <v>74</v>
      </c>
      <c r="AD55" s="23">
        <v>0</v>
      </c>
      <c r="AE55" s="23" t="b">
        <v>0</v>
      </c>
      <c r="AF55" s="23"/>
      <c r="AG55" s="23"/>
      <c r="AH55" s="23"/>
      <c r="AI55" s="23"/>
      <c r="AJ55" s="23" t="s">
        <v>16</v>
      </c>
      <c r="AK55" s="23"/>
      <c r="AL55" s="23"/>
      <c r="AM55" s="23"/>
      <c r="AN55" s="23"/>
      <c r="AO55" s="23"/>
      <c r="AP55" s="23" t="s">
        <v>11</v>
      </c>
      <c r="AQ55" s="23" t="s">
        <v>17</v>
      </c>
      <c r="AR55" s="26"/>
      <c r="AS55" s="23">
        <v>27580025</v>
      </c>
      <c r="AT55" s="26">
        <v>259702271</v>
      </c>
      <c r="AU55" s="23" t="s">
        <v>13</v>
      </c>
      <c r="AV55" s="23" t="b">
        <v>1</v>
      </c>
      <c r="AW55" s="26" t="s">
        <v>72</v>
      </c>
      <c r="AX55" s="26">
        <v>42205.273611111108</v>
      </c>
      <c r="AY55" s="26" t="s">
        <v>72</v>
      </c>
      <c r="AZ55" s="26">
        <v>42205.273611111108</v>
      </c>
      <c r="BB55" s="9" t="str">
        <f t="shared" si="4"/>
        <v>No</v>
      </c>
      <c r="BC55" s="9" t="str">
        <f>IF(EFB!$N55=Table1[[#This Row],[ProgramTitle]],"Yes","No")</f>
        <v>Yes</v>
      </c>
      <c r="BD55" s="9" t="str">
        <f>IF(EFB!$S55=Table1[[#This Row],[SeriesEpisodeTitle]],"Yes","No")</f>
        <v>Yes</v>
      </c>
      <c r="BE55" s="11">
        <f t="shared" si="2"/>
        <v>4.1666666666666664E-2</v>
      </c>
      <c r="BF55" s="11">
        <f t="shared" si="3"/>
        <v>0</v>
      </c>
      <c r="BH55" s="21">
        <f>Table1[[#This Row],[StartTime]]+$BG$2</f>
        <v>4.1666666666666664E-2</v>
      </c>
    </row>
    <row r="56" spans="1:60" x14ac:dyDescent="0.25">
      <c r="A56" s="16"/>
      <c r="B56" s="2"/>
      <c r="C56" s="17">
        <f t="shared" si="0"/>
        <v>4.1666666666666664E-2</v>
      </c>
      <c r="D56" s="16"/>
      <c r="E56" s="16"/>
      <c r="G56" s="23"/>
      <c r="H56" s="23"/>
      <c r="I56" s="23"/>
      <c r="J56" s="25"/>
      <c r="K56" s="24"/>
      <c r="L56" s="25"/>
      <c r="M56" s="25"/>
      <c r="N56" s="23"/>
      <c r="O56" s="23"/>
      <c r="P56" s="23"/>
      <c r="Q56" s="23"/>
      <c r="R56" s="23"/>
      <c r="S56" s="23"/>
      <c r="T56" s="23"/>
      <c r="U56" s="23" t="s">
        <v>7</v>
      </c>
      <c r="V56" s="23" t="s">
        <v>7</v>
      </c>
      <c r="W56" s="23" t="s">
        <v>7</v>
      </c>
      <c r="X56" s="23" t="s">
        <v>7</v>
      </c>
      <c r="Y56" s="23" t="b">
        <v>0</v>
      </c>
      <c r="Z56" s="23" t="b">
        <v>0</v>
      </c>
      <c r="AA56" s="26" t="s">
        <v>8</v>
      </c>
      <c r="AB56" s="23" t="b">
        <v>0</v>
      </c>
      <c r="AC56" s="26" t="s">
        <v>74</v>
      </c>
      <c r="AD56" s="23">
        <v>0</v>
      </c>
      <c r="AE56" s="23" t="b">
        <v>0</v>
      </c>
      <c r="AF56" s="23"/>
      <c r="AG56" s="23" t="s">
        <v>69</v>
      </c>
      <c r="AH56" s="23"/>
      <c r="AI56" s="23"/>
      <c r="AJ56" s="23" t="s">
        <v>16</v>
      </c>
      <c r="AK56" s="23"/>
      <c r="AL56" s="23"/>
      <c r="AM56" s="23"/>
      <c r="AN56" s="23"/>
      <c r="AO56" s="23"/>
      <c r="AP56" s="23" t="s">
        <v>11</v>
      </c>
      <c r="AQ56" s="23" t="s">
        <v>17</v>
      </c>
      <c r="AR56" s="26"/>
      <c r="AS56" s="23">
        <v>27580017</v>
      </c>
      <c r="AT56" s="26">
        <v>259702266</v>
      </c>
      <c r="AU56" s="23" t="s">
        <v>13</v>
      </c>
      <c r="AV56" s="23" t="b">
        <v>1</v>
      </c>
      <c r="AW56" s="26" t="s">
        <v>72</v>
      </c>
      <c r="AX56" s="26">
        <v>42205.273611111108</v>
      </c>
      <c r="AY56" s="26" t="s">
        <v>72</v>
      </c>
      <c r="AZ56" s="26">
        <v>42205.273611111108</v>
      </c>
      <c r="BB56" s="9" t="str">
        <f t="shared" si="4"/>
        <v>No</v>
      </c>
      <c r="BC56" s="9" t="str">
        <f>IF(EFB!$N56=Table1[[#This Row],[ProgramTitle]],"Yes","No")</f>
        <v>Yes</v>
      </c>
      <c r="BD56" s="9" t="str">
        <f>IF(EFB!$S56=Table1[[#This Row],[SeriesEpisodeTitle]],"Yes","No")</f>
        <v>Yes</v>
      </c>
      <c r="BE56" s="11">
        <f t="shared" si="2"/>
        <v>4.1666666666666664E-2</v>
      </c>
      <c r="BF56" s="11">
        <f t="shared" si="3"/>
        <v>0</v>
      </c>
      <c r="BH56" s="21">
        <f>Table1[[#This Row],[StartTime]]+$BG$2</f>
        <v>4.1666666666666664E-2</v>
      </c>
    </row>
    <row r="57" spans="1:60" x14ac:dyDescent="0.25">
      <c r="A57" s="16"/>
      <c r="B57" s="2"/>
      <c r="C57" s="17">
        <f t="shared" si="0"/>
        <v>4.1666666666666664E-2</v>
      </c>
      <c r="D57" s="16"/>
      <c r="E57" s="16"/>
      <c r="G57" s="23"/>
      <c r="H57" s="23"/>
      <c r="I57" s="23"/>
      <c r="J57" s="25"/>
      <c r="K57" s="24"/>
      <c r="L57" s="25"/>
      <c r="M57" s="25"/>
      <c r="N57" s="23"/>
      <c r="O57" s="23"/>
      <c r="P57" s="23"/>
      <c r="Q57" s="23"/>
      <c r="R57" s="23"/>
      <c r="S57" s="23"/>
      <c r="T57" s="23"/>
      <c r="U57" s="23" t="s">
        <v>7</v>
      </c>
      <c r="V57" s="23" t="s">
        <v>7</v>
      </c>
      <c r="W57" s="23" t="s">
        <v>7</v>
      </c>
      <c r="X57" s="23" t="s">
        <v>7</v>
      </c>
      <c r="Y57" s="23" t="b">
        <v>0</v>
      </c>
      <c r="Z57" s="23" t="b">
        <v>0</v>
      </c>
      <c r="AA57" s="26" t="s">
        <v>8</v>
      </c>
      <c r="AB57" s="23" t="b">
        <v>0</v>
      </c>
      <c r="AC57" s="26" t="s">
        <v>70</v>
      </c>
      <c r="AD57" s="23">
        <v>0</v>
      </c>
      <c r="AE57" s="23" t="b">
        <v>0</v>
      </c>
      <c r="AF57" s="23"/>
      <c r="AG57" s="23"/>
      <c r="AH57" s="23"/>
      <c r="AI57" s="23"/>
      <c r="AJ57" s="23" t="s">
        <v>16</v>
      </c>
      <c r="AK57" s="23"/>
      <c r="AL57" s="23"/>
      <c r="AM57" s="23"/>
      <c r="AN57" s="23"/>
      <c r="AO57" s="23"/>
      <c r="AP57" s="23" t="s">
        <v>11</v>
      </c>
      <c r="AQ57" s="23" t="s">
        <v>17</v>
      </c>
      <c r="AR57" s="26"/>
      <c r="AS57" s="23">
        <v>17359083</v>
      </c>
      <c r="AT57" s="26">
        <v>259478701</v>
      </c>
      <c r="AU57" s="23" t="s">
        <v>13</v>
      </c>
      <c r="AV57" s="23" t="b">
        <v>1</v>
      </c>
      <c r="AW57" s="26" t="s">
        <v>72</v>
      </c>
      <c r="AX57" s="26">
        <v>42205.273611111108</v>
      </c>
      <c r="AY57" s="26" t="s">
        <v>14</v>
      </c>
      <c r="AZ57" s="26">
        <v>42220.113888888889</v>
      </c>
      <c r="BB57" s="9" t="str">
        <f t="shared" si="4"/>
        <v>No</v>
      </c>
      <c r="BC57" s="9" t="str">
        <f>IF(EFB!$N57=Table1[[#This Row],[ProgramTitle]],"Yes","No")</f>
        <v>Yes</v>
      </c>
      <c r="BD57" s="9" t="str">
        <f>IF(EFB!$S57=Table1[[#This Row],[SeriesEpisodeTitle]],"Yes","No")</f>
        <v>Yes</v>
      </c>
      <c r="BE57" s="11">
        <f t="shared" si="2"/>
        <v>4.1666666666666664E-2</v>
      </c>
      <c r="BF57" s="11">
        <f t="shared" si="3"/>
        <v>0</v>
      </c>
      <c r="BH57" s="21">
        <f>Table1[[#This Row],[StartTime]]+$BG$2</f>
        <v>4.1666666666666664E-2</v>
      </c>
    </row>
    <row r="58" spans="1:60" s="4" customFormat="1" x14ac:dyDescent="0.25">
      <c r="A58" s="16"/>
      <c r="B58" s="2"/>
      <c r="C58" s="17">
        <f t="shared" si="0"/>
        <v>4.1666666666666664E-2</v>
      </c>
      <c r="D58" s="16"/>
      <c r="E58" s="16"/>
      <c r="F58" s="18"/>
      <c r="G58" s="23"/>
      <c r="H58" s="23"/>
      <c r="I58" s="23"/>
      <c r="J58" s="25"/>
      <c r="K58" s="24"/>
      <c r="L58" s="25"/>
      <c r="M58" s="25"/>
      <c r="N58" s="23"/>
      <c r="O58" s="23"/>
      <c r="P58" s="23"/>
      <c r="Q58" s="23"/>
      <c r="R58" s="23"/>
      <c r="S58" s="23"/>
      <c r="T58" s="23"/>
      <c r="U58" s="23" t="s">
        <v>7</v>
      </c>
      <c r="V58" s="23" t="s">
        <v>7</v>
      </c>
      <c r="W58" s="23" t="s">
        <v>7</v>
      </c>
      <c r="X58" s="23" t="s">
        <v>7</v>
      </c>
      <c r="Y58" s="23" t="b">
        <v>0</v>
      </c>
      <c r="Z58" s="23" t="b">
        <v>0</v>
      </c>
      <c r="AA58" s="26" t="s">
        <v>8</v>
      </c>
      <c r="AB58" s="23" t="b">
        <v>0</v>
      </c>
      <c r="AC58" s="26" t="s">
        <v>70</v>
      </c>
      <c r="AD58" s="23">
        <v>0</v>
      </c>
      <c r="AE58" s="23" t="b">
        <v>0</v>
      </c>
      <c r="AF58" s="23"/>
      <c r="AG58" s="23" t="s">
        <v>69</v>
      </c>
      <c r="AH58" s="23"/>
      <c r="AI58" s="23"/>
      <c r="AJ58" s="23" t="s">
        <v>16</v>
      </c>
      <c r="AK58" s="23"/>
      <c r="AL58" s="23"/>
      <c r="AM58" s="23"/>
      <c r="AN58" s="23"/>
      <c r="AO58" s="23"/>
      <c r="AP58" s="23" t="s">
        <v>11</v>
      </c>
      <c r="AQ58" s="23" t="s">
        <v>17</v>
      </c>
      <c r="AR58" s="26"/>
      <c r="AS58" s="23">
        <v>17359079</v>
      </c>
      <c r="AT58" s="26">
        <v>259478687</v>
      </c>
      <c r="AU58" s="23" t="s">
        <v>13</v>
      </c>
      <c r="AV58" s="23" t="b">
        <v>1</v>
      </c>
      <c r="AW58" s="26" t="s">
        <v>72</v>
      </c>
      <c r="AX58" s="26">
        <v>42205.273611111108</v>
      </c>
      <c r="AY58" s="26" t="s">
        <v>14</v>
      </c>
      <c r="AZ58" s="26">
        <v>42220.113888888889</v>
      </c>
      <c r="BA58" s="1"/>
      <c r="BB58" s="9" t="str">
        <f t="shared" si="4"/>
        <v>No</v>
      </c>
      <c r="BC58" s="9" t="str">
        <f>IF(EFB!$N58=Table1[[#This Row],[ProgramTitle]],"Yes","No")</f>
        <v>Yes</v>
      </c>
      <c r="BD58" s="9" t="str">
        <f>IF(EFB!$S58=Table1[[#This Row],[SeriesEpisodeTitle]],"Yes","No")</f>
        <v>Yes</v>
      </c>
      <c r="BE58" s="11">
        <f t="shared" si="2"/>
        <v>4.1666666666666664E-2</v>
      </c>
      <c r="BF58" s="11">
        <f t="shared" si="3"/>
        <v>0</v>
      </c>
      <c r="BH58" s="21">
        <f>Table1[[#This Row],[StartTime]]+$BG$2</f>
        <v>4.1666666666666664E-2</v>
      </c>
    </row>
    <row r="59" spans="1:60" x14ac:dyDescent="0.25">
      <c r="A59" s="16"/>
      <c r="B59" s="2"/>
      <c r="C59" s="17">
        <f t="shared" si="0"/>
        <v>4.1666666666666664E-2</v>
      </c>
      <c r="D59" s="16"/>
      <c r="E59" s="16"/>
      <c r="G59" s="23"/>
      <c r="H59" s="23"/>
      <c r="I59" s="23"/>
      <c r="J59" s="25"/>
      <c r="K59" s="24"/>
      <c r="L59" s="25"/>
      <c r="M59" s="25"/>
      <c r="N59" s="23"/>
      <c r="O59" s="23"/>
      <c r="P59" s="23"/>
      <c r="Q59" s="23"/>
      <c r="R59" s="23"/>
      <c r="S59" s="23"/>
      <c r="T59" s="23"/>
      <c r="U59" s="23" t="s">
        <v>7</v>
      </c>
      <c r="V59" s="23" t="s">
        <v>7</v>
      </c>
      <c r="W59" s="23" t="s">
        <v>7</v>
      </c>
      <c r="X59" s="23" t="s">
        <v>7</v>
      </c>
      <c r="Y59" s="23" t="b">
        <v>0</v>
      </c>
      <c r="Z59" s="23" t="b">
        <v>0</v>
      </c>
      <c r="AA59" s="26" t="s">
        <v>8</v>
      </c>
      <c r="AB59" s="23" t="b">
        <v>0</v>
      </c>
      <c r="AC59" s="26"/>
      <c r="AD59" s="23">
        <v>0</v>
      </c>
      <c r="AE59" s="23" t="b">
        <v>0</v>
      </c>
      <c r="AF59" s="23"/>
      <c r="AG59" s="23"/>
      <c r="AH59" s="23"/>
      <c r="AI59" s="23"/>
      <c r="AJ59" s="23" t="s">
        <v>10</v>
      </c>
      <c r="AK59" s="23"/>
      <c r="AL59" s="23"/>
      <c r="AM59" s="23"/>
      <c r="AN59" s="23"/>
      <c r="AO59" s="23"/>
      <c r="AP59" s="23" t="s">
        <v>11</v>
      </c>
      <c r="AQ59" s="23" t="s">
        <v>17</v>
      </c>
      <c r="AR59" s="26"/>
      <c r="AS59" s="23">
        <v>18126380</v>
      </c>
      <c r="AT59" s="26">
        <v>259478739</v>
      </c>
      <c r="AU59" s="23" t="s">
        <v>13</v>
      </c>
      <c r="AV59" s="23" t="b">
        <v>1</v>
      </c>
      <c r="AW59" s="26" t="s">
        <v>72</v>
      </c>
      <c r="AX59" s="26">
        <v>42205.273611111108</v>
      </c>
      <c r="AY59" s="26" t="s">
        <v>14</v>
      </c>
      <c r="AZ59" s="26">
        <v>42220.113888888889</v>
      </c>
      <c r="BB59" s="9" t="str">
        <f t="shared" si="4"/>
        <v>No</v>
      </c>
      <c r="BC59" s="9" t="str">
        <f>IF(EFB!$N59=Table1[[#This Row],[ProgramTitle]],"Yes","No")</f>
        <v>Yes</v>
      </c>
      <c r="BD59" s="9" t="str">
        <f>IF(EFB!$S59=Table1[[#This Row],[SeriesEpisodeTitle]],"Yes","No")</f>
        <v>Yes</v>
      </c>
      <c r="BE59" s="11">
        <f t="shared" si="2"/>
        <v>4.1666666666666664E-2</v>
      </c>
      <c r="BF59" s="11">
        <f t="shared" si="3"/>
        <v>0</v>
      </c>
      <c r="BH59" s="21">
        <f>Table1[[#This Row],[StartTime]]+$BG$2</f>
        <v>4.1666666666666664E-2</v>
      </c>
    </row>
    <row r="60" spans="1:60" s="4" customFormat="1" x14ac:dyDescent="0.25">
      <c r="A60" s="16"/>
      <c r="B60" s="2"/>
      <c r="C60" s="17">
        <f t="shared" si="0"/>
        <v>4.1666666666666664E-2</v>
      </c>
      <c r="D60" s="16"/>
      <c r="E60" s="16"/>
      <c r="F60" s="18"/>
      <c r="G60" s="23"/>
      <c r="H60" s="23"/>
      <c r="I60" s="23"/>
      <c r="J60" s="25"/>
      <c r="K60" s="24"/>
      <c r="L60" s="25"/>
      <c r="M60" s="25"/>
      <c r="N60" s="23"/>
      <c r="O60" s="23"/>
      <c r="P60" s="23"/>
      <c r="Q60" s="23"/>
      <c r="R60" s="23"/>
      <c r="S60" s="23"/>
      <c r="T60" s="23"/>
      <c r="U60" s="23" t="s">
        <v>7</v>
      </c>
      <c r="V60" s="23" t="s">
        <v>7</v>
      </c>
      <c r="W60" s="23" t="s">
        <v>7</v>
      </c>
      <c r="X60" s="23" t="s">
        <v>7</v>
      </c>
      <c r="Y60" s="23" t="b">
        <v>0</v>
      </c>
      <c r="Z60" s="23" t="b">
        <v>0</v>
      </c>
      <c r="AA60" s="26" t="s">
        <v>8</v>
      </c>
      <c r="AB60" s="23" t="b">
        <v>0</v>
      </c>
      <c r="AC60" s="26" t="s">
        <v>74</v>
      </c>
      <c r="AD60" s="23">
        <v>0</v>
      </c>
      <c r="AE60" s="23" t="b">
        <v>0</v>
      </c>
      <c r="AF60" s="23"/>
      <c r="AG60" s="23"/>
      <c r="AH60" s="23"/>
      <c r="AI60" s="23"/>
      <c r="AJ60" s="23" t="s">
        <v>16</v>
      </c>
      <c r="AK60" s="23"/>
      <c r="AL60" s="23"/>
      <c r="AM60" s="23"/>
      <c r="AN60" s="23"/>
      <c r="AO60" s="23"/>
      <c r="AP60" s="23" t="s">
        <v>11</v>
      </c>
      <c r="AQ60" s="23" t="s">
        <v>17</v>
      </c>
      <c r="AR60" s="26"/>
      <c r="AS60" s="23">
        <v>27580017</v>
      </c>
      <c r="AT60" s="26">
        <v>259702265</v>
      </c>
      <c r="AU60" s="23" t="s">
        <v>13</v>
      </c>
      <c r="AV60" s="23" t="b">
        <v>1</v>
      </c>
      <c r="AW60" s="26" t="s">
        <v>72</v>
      </c>
      <c r="AX60" s="26">
        <v>42205.273611111108</v>
      </c>
      <c r="AY60" s="26" t="s">
        <v>14</v>
      </c>
      <c r="AZ60" s="26">
        <v>42220.113888888889</v>
      </c>
      <c r="BA60" s="1"/>
      <c r="BB60" s="9" t="str">
        <f t="shared" si="4"/>
        <v>No</v>
      </c>
      <c r="BC60" s="9" t="str">
        <f>IF(EFB!$N60=Table1[[#This Row],[ProgramTitle]],"Yes","No")</f>
        <v>Yes</v>
      </c>
      <c r="BD60" s="9" t="str">
        <f>IF(EFB!$S60=Table1[[#This Row],[SeriesEpisodeTitle]],"Yes","No")</f>
        <v>Yes</v>
      </c>
      <c r="BE60" s="11">
        <f t="shared" si="2"/>
        <v>4.1666666666666664E-2</v>
      </c>
      <c r="BF60" s="11">
        <f t="shared" si="3"/>
        <v>0</v>
      </c>
      <c r="BH60" s="21">
        <f>Table1[[#This Row],[StartTime]]+$BG$2</f>
        <v>4.1666666666666664E-2</v>
      </c>
    </row>
    <row r="61" spans="1:60" x14ac:dyDescent="0.25">
      <c r="A61" s="16"/>
      <c r="B61" s="2"/>
      <c r="C61" s="17">
        <f t="shared" si="0"/>
        <v>4.1666666666666664E-2</v>
      </c>
      <c r="D61" s="16"/>
      <c r="E61" s="16"/>
      <c r="G61" s="23"/>
      <c r="H61" s="23"/>
      <c r="I61" s="23"/>
      <c r="J61" s="25"/>
      <c r="K61" s="24"/>
      <c r="L61" s="25"/>
      <c r="M61" s="25"/>
      <c r="N61" s="23"/>
      <c r="O61" s="23"/>
      <c r="P61" s="23"/>
      <c r="Q61" s="23"/>
      <c r="R61" s="23"/>
      <c r="S61" s="23"/>
      <c r="T61" s="23"/>
      <c r="U61" s="23" t="s">
        <v>7</v>
      </c>
      <c r="V61" s="23" t="s">
        <v>7</v>
      </c>
      <c r="W61" s="23" t="s">
        <v>7</v>
      </c>
      <c r="X61" s="23" t="s">
        <v>7</v>
      </c>
      <c r="Y61" s="23" t="b">
        <v>0</v>
      </c>
      <c r="Z61" s="23" t="b">
        <v>0</v>
      </c>
      <c r="AA61" s="26" t="s">
        <v>8</v>
      </c>
      <c r="AB61" s="23" t="b">
        <v>0</v>
      </c>
      <c r="AC61" s="26" t="s">
        <v>15</v>
      </c>
      <c r="AD61" s="23">
        <v>0</v>
      </c>
      <c r="AE61" s="23" t="b">
        <v>0</v>
      </c>
      <c r="AF61" s="23"/>
      <c r="AG61" s="23"/>
      <c r="AH61" s="23"/>
      <c r="AI61" s="23"/>
      <c r="AJ61" s="23" t="s">
        <v>10</v>
      </c>
      <c r="AK61" s="23"/>
      <c r="AL61" s="23"/>
      <c r="AM61" s="23"/>
      <c r="AN61" s="23"/>
      <c r="AO61" s="23"/>
      <c r="AP61" s="23" t="s">
        <v>11</v>
      </c>
      <c r="AQ61" s="23" t="s">
        <v>17</v>
      </c>
      <c r="AR61" s="26"/>
      <c r="AS61" s="23">
        <v>15329153</v>
      </c>
      <c r="AT61" s="26">
        <v>259478642</v>
      </c>
      <c r="AU61" s="23" t="s">
        <v>13</v>
      </c>
      <c r="AV61" s="23" t="b">
        <v>1</v>
      </c>
      <c r="AW61" s="26" t="s">
        <v>72</v>
      </c>
      <c r="AX61" s="26">
        <v>42205.273611111108</v>
      </c>
      <c r="AY61" s="26" t="s">
        <v>72</v>
      </c>
      <c r="AZ61" s="26">
        <v>42205.273611111108</v>
      </c>
      <c r="BB61" s="9" t="str">
        <f t="shared" si="4"/>
        <v>No</v>
      </c>
      <c r="BC61" s="9" t="str">
        <f>IF(EFB!$N61=Table1[[#This Row],[ProgramTitle]],"Yes","No")</f>
        <v>Yes</v>
      </c>
      <c r="BD61" s="9" t="str">
        <f>IF(EFB!$S61=Table1[[#This Row],[SeriesEpisodeTitle]],"Yes","No")</f>
        <v>Yes</v>
      </c>
      <c r="BE61" s="11">
        <f t="shared" si="2"/>
        <v>4.1666666666666664E-2</v>
      </c>
      <c r="BF61" s="11">
        <f t="shared" si="3"/>
        <v>0</v>
      </c>
      <c r="BH61" s="21">
        <f>Table1[[#This Row],[StartTime]]+$BG$2</f>
        <v>4.1666666666666664E-2</v>
      </c>
    </row>
    <row r="62" spans="1:60" x14ac:dyDescent="0.25">
      <c r="A62" s="16"/>
      <c r="B62" s="2"/>
      <c r="C62" s="17">
        <f t="shared" si="0"/>
        <v>4.1666666666666664E-2</v>
      </c>
      <c r="D62" s="16"/>
      <c r="E62" s="16"/>
      <c r="G62" s="23"/>
      <c r="H62" s="23"/>
      <c r="I62" s="23"/>
      <c r="J62" s="25"/>
      <c r="K62" s="24"/>
      <c r="L62" s="25"/>
      <c r="M62" s="25"/>
      <c r="N62" s="23"/>
      <c r="O62" s="23"/>
      <c r="P62" s="23"/>
      <c r="Q62" s="23"/>
      <c r="R62" s="23"/>
      <c r="S62" s="23"/>
      <c r="T62" s="23"/>
      <c r="U62" s="23"/>
      <c r="V62" s="23" t="s">
        <v>7</v>
      </c>
      <c r="W62" s="23" t="s">
        <v>7</v>
      </c>
      <c r="X62" s="23" t="s">
        <v>7</v>
      </c>
      <c r="Y62" s="23" t="b">
        <v>0</v>
      </c>
      <c r="Z62" s="23" t="b">
        <v>0</v>
      </c>
      <c r="AA62" s="26" t="s">
        <v>8</v>
      </c>
      <c r="AB62" s="23" t="b">
        <v>0</v>
      </c>
      <c r="AC62" s="26" t="s">
        <v>18</v>
      </c>
      <c r="AD62" s="23">
        <v>0</v>
      </c>
      <c r="AE62" s="23" t="b">
        <v>0</v>
      </c>
      <c r="AF62" s="23"/>
      <c r="AG62" s="23"/>
      <c r="AH62" s="23"/>
      <c r="AI62" s="23"/>
      <c r="AJ62" s="23" t="s">
        <v>10</v>
      </c>
      <c r="AK62" s="23"/>
      <c r="AL62" s="23"/>
      <c r="AM62" s="23"/>
      <c r="AN62" s="23"/>
      <c r="AO62" s="23"/>
      <c r="AP62" s="23" t="s">
        <v>11</v>
      </c>
      <c r="AQ62" s="23" t="s">
        <v>17</v>
      </c>
      <c r="AR62" s="26"/>
      <c r="AS62" s="23">
        <v>15329407</v>
      </c>
      <c r="AT62" s="26">
        <v>259478644</v>
      </c>
      <c r="AU62" s="23" t="s">
        <v>13</v>
      </c>
      <c r="AV62" s="23" t="b">
        <v>1</v>
      </c>
      <c r="AW62" s="26" t="s">
        <v>72</v>
      </c>
      <c r="AX62" s="26">
        <v>42205.273611111108</v>
      </c>
      <c r="AY62" s="26" t="s">
        <v>72</v>
      </c>
      <c r="AZ62" s="26">
        <v>42205.273611111108</v>
      </c>
      <c r="BB62" s="9" t="str">
        <f t="shared" si="4"/>
        <v>No</v>
      </c>
      <c r="BC62" s="9" t="str">
        <f>IF(EFB!$N62=Table1[[#This Row],[ProgramTitle]],"Yes","No")</f>
        <v>Yes</v>
      </c>
      <c r="BD62" s="9" t="str">
        <f>IF(EFB!$S62=Table1[[#This Row],[SeriesEpisodeTitle]],"Yes","No")</f>
        <v>Yes</v>
      </c>
      <c r="BE62" s="11">
        <f t="shared" si="2"/>
        <v>4.1666666666666664E-2</v>
      </c>
      <c r="BF62" s="11">
        <f t="shared" si="3"/>
        <v>0</v>
      </c>
      <c r="BH62" s="21">
        <f>Table1[[#This Row],[StartTime]]+$BG$2</f>
        <v>4.1666666666666664E-2</v>
      </c>
    </row>
    <row r="63" spans="1:60" x14ac:dyDescent="0.25">
      <c r="A63" s="16"/>
      <c r="B63" s="2"/>
      <c r="C63" s="17">
        <f t="shared" si="0"/>
        <v>4.1666666666666664E-2</v>
      </c>
      <c r="D63" s="16"/>
      <c r="E63" s="16"/>
      <c r="G63" s="23"/>
      <c r="H63" s="23"/>
      <c r="I63" s="23"/>
      <c r="J63" s="25"/>
      <c r="K63" s="24"/>
      <c r="L63" s="25"/>
      <c r="M63" s="25"/>
      <c r="N63" s="23"/>
      <c r="O63" s="23"/>
      <c r="P63" s="23"/>
      <c r="Q63" s="23"/>
      <c r="R63" s="23"/>
      <c r="S63" s="23"/>
      <c r="T63" s="23"/>
      <c r="U63" s="23"/>
      <c r="V63" s="23" t="s">
        <v>7</v>
      </c>
      <c r="W63" s="23" t="s">
        <v>7</v>
      </c>
      <c r="X63" s="23" t="s">
        <v>7</v>
      </c>
      <c r="Y63" s="23" t="b">
        <v>0</v>
      </c>
      <c r="Z63" s="23" t="b">
        <v>0</v>
      </c>
      <c r="AA63" s="26" t="s">
        <v>8</v>
      </c>
      <c r="AB63" s="23" t="b">
        <v>0</v>
      </c>
      <c r="AC63" s="26" t="s">
        <v>15</v>
      </c>
      <c r="AD63" s="23">
        <v>0</v>
      </c>
      <c r="AE63" s="23" t="b">
        <v>0</v>
      </c>
      <c r="AF63" s="23"/>
      <c r="AG63" s="23"/>
      <c r="AH63" s="23"/>
      <c r="AI63" s="23"/>
      <c r="AJ63" s="23" t="s">
        <v>10</v>
      </c>
      <c r="AK63" s="23"/>
      <c r="AL63" s="23"/>
      <c r="AM63" s="23"/>
      <c r="AN63" s="23"/>
      <c r="AO63" s="23"/>
      <c r="AP63" s="23" t="s">
        <v>11</v>
      </c>
      <c r="AQ63" s="23" t="s">
        <v>17</v>
      </c>
      <c r="AR63" s="26"/>
      <c r="AS63" s="23">
        <v>15197712</v>
      </c>
      <c r="AT63" s="26">
        <v>259478633</v>
      </c>
      <c r="AU63" s="23" t="s">
        <v>13</v>
      </c>
      <c r="AV63" s="23" t="b">
        <v>1</v>
      </c>
      <c r="AW63" s="26" t="s">
        <v>72</v>
      </c>
      <c r="AX63" s="26">
        <v>42205.273611111108</v>
      </c>
      <c r="AY63" s="26" t="s">
        <v>72</v>
      </c>
      <c r="AZ63" s="26">
        <v>42205.273611111108</v>
      </c>
      <c r="BB63" s="9" t="str">
        <f t="shared" si="4"/>
        <v>No</v>
      </c>
      <c r="BC63" s="9" t="str">
        <f>IF(EFB!$N63=Table1[[#This Row],[ProgramTitle]],"Yes","No")</f>
        <v>Yes</v>
      </c>
      <c r="BD63" s="9" t="str">
        <f>IF(EFB!$S63=Table1[[#This Row],[SeriesEpisodeTitle]],"Yes","No")</f>
        <v>Yes</v>
      </c>
      <c r="BE63" s="11">
        <f t="shared" si="2"/>
        <v>4.1666666666666664E-2</v>
      </c>
      <c r="BF63" s="11">
        <f t="shared" si="3"/>
        <v>0</v>
      </c>
      <c r="BH63" s="21">
        <f>Table1[[#This Row],[StartTime]]+$BG$2</f>
        <v>4.1666666666666664E-2</v>
      </c>
    </row>
    <row r="64" spans="1:60" x14ac:dyDescent="0.25">
      <c r="A64" s="16"/>
      <c r="B64" s="2"/>
      <c r="C64" s="17">
        <f t="shared" si="0"/>
        <v>4.1666666666666664E-2</v>
      </c>
      <c r="D64" s="16"/>
      <c r="E64" s="16"/>
      <c r="G64" s="23"/>
      <c r="H64" s="23"/>
      <c r="I64" s="23"/>
      <c r="J64" s="25"/>
      <c r="K64" s="24"/>
      <c r="L64" s="25"/>
      <c r="M64" s="25"/>
      <c r="N64" s="23"/>
      <c r="O64" s="23"/>
      <c r="P64" s="23"/>
      <c r="Q64" s="23"/>
      <c r="R64" s="23"/>
      <c r="S64" s="23"/>
      <c r="T64" s="23"/>
      <c r="U64" s="23"/>
      <c r="V64" s="23" t="s">
        <v>7</v>
      </c>
      <c r="W64" s="23" t="s">
        <v>7</v>
      </c>
      <c r="X64" s="23" t="s">
        <v>7</v>
      </c>
      <c r="Y64" s="23" t="b">
        <v>0</v>
      </c>
      <c r="Z64" s="23" t="b">
        <v>0</v>
      </c>
      <c r="AA64" s="26" t="s">
        <v>8</v>
      </c>
      <c r="AB64" s="23" t="b">
        <v>0</v>
      </c>
      <c r="AC64" s="26" t="s">
        <v>18</v>
      </c>
      <c r="AD64" s="23">
        <v>0</v>
      </c>
      <c r="AE64" s="23" t="b">
        <v>0</v>
      </c>
      <c r="AF64" s="23"/>
      <c r="AG64" s="23"/>
      <c r="AH64" s="23"/>
      <c r="AI64" s="23"/>
      <c r="AJ64" s="23" t="s">
        <v>10</v>
      </c>
      <c r="AK64" s="23"/>
      <c r="AL64" s="23"/>
      <c r="AM64" s="23"/>
      <c r="AN64" s="23"/>
      <c r="AO64" s="23"/>
      <c r="AP64" s="23" t="s">
        <v>11</v>
      </c>
      <c r="AQ64" s="23" t="s">
        <v>17</v>
      </c>
      <c r="AR64" s="26"/>
      <c r="AS64" s="23">
        <v>15187590</v>
      </c>
      <c r="AT64" s="26">
        <v>259478630</v>
      </c>
      <c r="AU64" s="23" t="s">
        <v>13</v>
      </c>
      <c r="AV64" s="23" t="b">
        <v>1</v>
      </c>
      <c r="AW64" s="26" t="s">
        <v>72</v>
      </c>
      <c r="AX64" s="26">
        <v>42205.273611111108</v>
      </c>
      <c r="AY64" s="26" t="s">
        <v>72</v>
      </c>
      <c r="AZ64" s="26">
        <v>42205.273611111108</v>
      </c>
      <c r="BB64" s="9" t="str">
        <f t="shared" si="4"/>
        <v>No</v>
      </c>
      <c r="BC64" s="9" t="str">
        <f>IF(EFB!$N64=Table1[[#This Row],[ProgramTitle]],"Yes","No")</f>
        <v>Yes</v>
      </c>
      <c r="BD64" s="9" t="str">
        <f>IF(EFB!$S64=Table1[[#This Row],[SeriesEpisodeTitle]],"Yes","No")</f>
        <v>Yes</v>
      </c>
      <c r="BE64" s="11">
        <f t="shared" si="2"/>
        <v>4.1666666666666664E-2</v>
      </c>
      <c r="BF64" s="11">
        <f t="shared" si="3"/>
        <v>0</v>
      </c>
      <c r="BH64" s="21">
        <f>Table1[[#This Row],[StartTime]]+$BG$2</f>
        <v>4.1666666666666664E-2</v>
      </c>
    </row>
    <row r="65" spans="1:60" x14ac:dyDescent="0.25">
      <c r="A65" s="16"/>
      <c r="B65" s="2"/>
      <c r="C65" s="17">
        <f t="shared" si="0"/>
        <v>4.1666666666666664E-2</v>
      </c>
      <c r="D65" s="16"/>
      <c r="E65" s="16"/>
      <c r="G65" s="23"/>
      <c r="H65" s="23"/>
      <c r="I65" s="23"/>
      <c r="J65" s="25"/>
      <c r="K65" s="24"/>
      <c r="L65" s="25"/>
      <c r="M65" s="25"/>
      <c r="N65" s="23"/>
      <c r="O65" s="23"/>
      <c r="P65" s="23"/>
      <c r="Q65" s="23"/>
      <c r="R65" s="23"/>
      <c r="S65" s="23"/>
      <c r="T65" s="23"/>
      <c r="U65" s="23" t="s">
        <v>7</v>
      </c>
      <c r="V65" s="23" t="s">
        <v>7</v>
      </c>
      <c r="W65" s="23" t="s">
        <v>7</v>
      </c>
      <c r="X65" s="23" t="s">
        <v>7</v>
      </c>
      <c r="Y65" s="23" t="b">
        <v>0</v>
      </c>
      <c r="Z65" s="23" t="b">
        <v>0</v>
      </c>
      <c r="AA65" s="26" t="s">
        <v>8</v>
      </c>
      <c r="AB65" s="23" t="b">
        <v>0</v>
      </c>
      <c r="AC65" s="26"/>
      <c r="AD65" s="23">
        <v>0</v>
      </c>
      <c r="AE65" s="23" t="b">
        <v>0</v>
      </c>
      <c r="AF65" s="23"/>
      <c r="AG65" s="23"/>
      <c r="AH65" s="23"/>
      <c r="AI65" s="23"/>
      <c r="AJ65" s="23" t="s">
        <v>16</v>
      </c>
      <c r="AK65" s="23"/>
      <c r="AL65" s="23"/>
      <c r="AM65" s="23"/>
      <c r="AN65" s="23"/>
      <c r="AO65" s="23"/>
      <c r="AP65" s="23" t="s">
        <v>11</v>
      </c>
      <c r="AQ65" s="23" t="s">
        <v>17</v>
      </c>
      <c r="AR65" s="26"/>
      <c r="AS65" s="23">
        <v>27580047</v>
      </c>
      <c r="AT65" s="26">
        <v>259478868</v>
      </c>
      <c r="AU65" s="23" t="s">
        <v>13</v>
      </c>
      <c r="AV65" s="23" t="b">
        <v>1</v>
      </c>
      <c r="AW65" s="26" t="s">
        <v>72</v>
      </c>
      <c r="AX65" s="26">
        <v>42205.273611111108</v>
      </c>
      <c r="AY65" s="26" t="s">
        <v>72</v>
      </c>
      <c r="AZ65" s="26">
        <v>42205.273611111108</v>
      </c>
      <c r="BB65" s="9" t="str">
        <f t="shared" si="4"/>
        <v>No</v>
      </c>
      <c r="BC65" s="9" t="str">
        <f>IF(EFB!$N65=Table1[[#This Row],[ProgramTitle]],"Yes","No")</f>
        <v>Yes</v>
      </c>
      <c r="BD65" s="9" t="str">
        <f>IF(EFB!$S65=Table1[[#This Row],[SeriesEpisodeTitle]],"Yes","No")</f>
        <v>Yes</v>
      </c>
      <c r="BE65" s="11">
        <f t="shared" si="2"/>
        <v>4.1666666666666664E-2</v>
      </c>
      <c r="BF65" s="11">
        <f t="shared" si="3"/>
        <v>0</v>
      </c>
      <c r="BH65" s="21">
        <f>Table1[[#This Row],[StartTime]]+$BG$2</f>
        <v>4.1666666666666664E-2</v>
      </c>
    </row>
    <row r="66" spans="1:60" x14ac:dyDescent="0.25">
      <c r="A66" s="16"/>
      <c r="B66" s="2"/>
      <c r="C66" s="17">
        <f t="shared" ref="C66:C129" si="5">BH66</f>
        <v>4.1666666666666664E-2</v>
      </c>
      <c r="D66" s="16"/>
      <c r="E66" s="16"/>
      <c r="G66" s="23"/>
      <c r="H66" s="23"/>
      <c r="I66" s="23"/>
      <c r="J66" s="25"/>
      <c r="K66" s="24"/>
      <c r="L66" s="25"/>
      <c r="M66" s="25"/>
      <c r="N66" s="23"/>
      <c r="O66" s="23"/>
      <c r="P66" s="23"/>
      <c r="Q66" s="23"/>
      <c r="R66" s="23"/>
      <c r="S66" s="23"/>
      <c r="T66" s="23"/>
      <c r="U66" s="23" t="s">
        <v>7</v>
      </c>
      <c r="V66" s="23" t="s">
        <v>7</v>
      </c>
      <c r="W66" s="23" t="s">
        <v>7</v>
      </c>
      <c r="X66" s="23" t="s">
        <v>7</v>
      </c>
      <c r="Y66" s="23" t="b">
        <v>0</v>
      </c>
      <c r="Z66" s="23" t="b">
        <v>0</v>
      </c>
      <c r="AA66" s="26" t="s">
        <v>8</v>
      </c>
      <c r="AB66" s="23" t="b">
        <v>0</v>
      </c>
      <c r="AC66" s="26"/>
      <c r="AD66" s="23">
        <v>0</v>
      </c>
      <c r="AE66" s="23" t="b">
        <v>0</v>
      </c>
      <c r="AF66" s="23"/>
      <c r="AG66" s="23"/>
      <c r="AH66" s="23"/>
      <c r="AI66" s="23"/>
      <c r="AJ66" s="23" t="s">
        <v>16</v>
      </c>
      <c r="AK66" s="23"/>
      <c r="AL66" s="23"/>
      <c r="AM66" s="23"/>
      <c r="AN66" s="23"/>
      <c r="AO66" s="23"/>
      <c r="AP66" s="23" t="s">
        <v>11</v>
      </c>
      <c r="AQ66" s="23" t="s">
        <v>12</v>
      </c>
      <c r="AR66" s="26"/>
      <c r="AS66" s="23">
        <v>27580046</v>
      </c>
      <c r="AT66" s="26">
        <v>259478867</v>
      </c>
      <c r="AU66" s="23" t="s">
        <v>13</v>
      </c>
      <c r="AV66" s="23" t="b">
        <v>1</v>
      </c>
      <c r="AW66" s="26" t="s">
        <v>72</v>
      </c>
      <c r="AX66" s="26">
        <v>42205.273611111108</v>
      </c>
      <c r="AY66" s="26" t="s">
        <v>72</v>
      </c>
      <c r="AZ66" s="26">
        <v>42205.273611111108</v>
      </c>
      <c r="BB66" s="9" t="str">
        <f t="shared" si="4"/>
        <v>No</v>
      </c>
      <c r="BC66" s="9" t="str">
        <f>IF(EFB!$N66=Table1[[#This Row],[ProgramTitle]],"Yes","No")</f>
        <v>Yes</v>
      </c>
      <c r="BD66" s="9" t="str">
        <f>IF(EFB!$S66=Table1[[#This Row],[SeriesEpisodeTitle]],"Yes","No")</f>
        <v>Yes</v>
      </c>
      <c r="BE66" s="11">
        <f t="shared" si="2"/>
        <v>4.1666666666666664E-2</v>
      </c>
      <c r="BF66" s="11">
        <f t="shared" si="3"/>
        <v>0</v>
      </c>
      <c r="BH66" s="21">
        <f>Table1[[#This Row],[StartTime]]+$BG$2</f>
        <v>4.1666666666666664E-2</v>
      </c>
    </row>
    <row r="67" spans="1:60" x14ac:dyDescent="0.25">
      <c r="A67" s="16"/>
      <c r="B67" s="2"/>
      <c r="C67" s="17">
        <f t="shared" si="5"/>
        <v>4.1666666666666664E-2</v>
      </c>
      <c r="D67" s="16"/>
      <c r="E67" s="16"/>
      <c r="G67" s="23"/>
      <c r="H67" s="23"/>
      <c r="I67" s="23"/>
      <c r="J67" s="25"/>
      <c r="K67" s="24"/>
      <c r="L67" s="25"/>
      <c r="M67" s="25"/>
      <c r="N67" s="23"/>
      <c r="O67" s="23"/>
      <c r="P67" s="23"/>
      <c r="Q67" s="23"/>
      <c r="R67" s="23"/>
      <c r="S67" s="23"/>
      <c r="T67" s="23"/>
      <c r="U67" s="23" t="s">
        <v>7</v>
      </c>
      <c r="V67" s="23" t="s">
        <v>7</v>
      </c>
      <c r="W67" s="23" t="s">
        <v>7</v>
      </c>
      <c r="X67" s="23" t="s">
        <v>7</v>
      </c>
      <c r="Y67" s="23" t="b">
        <v>0</v>
      </c>
      <c r="Z67" s="23" t="b">
        <v>0</v>
      </c>
      <c r="AA67" s="26" t="s">
        <v>8</v>
      </c>
      <c r="AB67" s="23" t="b">
        <v>0</v>
      </c>
      <c r="AC67" s="26" t="s">
        <v>18</v>
      </c>
      <c r="AD67" s="23">
        <v>0</v>
      </c>
      <c r="AE67" s="23" t="b">
        <v>0</v>
      </c>
      <c r="AF67" s="23"/>
      <c r="AG67" s="23"/>
      <c r="AH67" s="23"/>
      <c r="AI67" s="23"/>
      <c r="AJ67" s="23" t="s">
        <v>16</v>
      </c>
      <c r="AK67" s="23"/>
      <c r="AL67" s="23"/>
      <c r="AM67" s="23"/>
      <c r="AN67" s="23"/>
      <c r="AO67" s="23"/>
      <c r="AP67" s="23" t="s">
        <v>11</v>
      </c>
      <c r="AQ67" s="23" t="s">
        <v>17</v>
      </c>
      <c r="AR67" s="26"/>
      <c r="AS67" s="23">
        <v>19394025</v>
      </c>
      <c r="AT67" s="26">
        <v>259478741</v>
      </c>
      <c r="AU67" s="23" t="s">
        <v>13</v>
      </c>
      <c r="AV67" s="23" t="b">
        <v>1</v>
      </c>
      <c r="AW67" s="26" t="s">
        <v>72</v>
      </c>
      <c r="AX67" s="26">
        <v>42205.273611111108</v>
      </c>
      <c r="AY67" s="26" t="s">
        <v>72</v>
      </c>
      <c r="AZ67" s="26">
        <v>42205.273611111108</v>
      </c>
      <c r="BB67" s="9" t="str">
        <f t="shared" si="4"/>
        <v>No</v>
      </c>
      <c r="BC67" s="9" t="str">
        <f>IF(EFB!$N67=Table1[[#This Row],[ProgramTitle]],"Yes","No")</f>
        <v>Yes</v>
      </c>
      <c r="BD67" s="9" t="str">
        <f>IF(EFB!$S67=Table1[[#This Row],[SeriesEpisodeTitle]],"Yes","No")</f>
        <v>Yes</v>
      </c>
      <c r="BE67" s="11">
        <f t="shared" ref="BE67:BE110" si="6">TIME(HOUR(C67),MINUTE(C67),SECOND(0))</f>
        <v>4.1666666666666664E-2</v>
      </c>
      <c r="BF67" s="11">
        <f t="shared" ref="BF67:BF110" si="7">TIME(HOUR(L67),MINUTE(L67),SECOND(0))</f>
        <v>0</v>
      </c>
      <c r="BH67" s="21">
        <f>Table1[[#This Row],[StartTime]]+$BG$2</f>
        <v>4.1666666666666664E-2</v>
      </c>
    </row>
    <row r="68" spans="1:60" x14ac:dyDescent="0.25">
      <c r="A68" s="16"/>
      <c r="B68" s="2"/>
      <c r="C68" s="17">
        <f t="shared" si="5"/>
        <v>4.1666666666666664E-2</v>
      </c>
      <c r="D68" s="16"/>
      <c r="E68" s="16"/>
      <c r="G68" s="23"/>
      <c r="H68" s="23"/>
      <c r="I68" s="23"/>
      <c r="J68" s="25"/>
      <c r="K68" s="24"/>
      <c r="L68" s="25"/>
      <c r="M68" s="25"/>
      <c r="N68" s="23"/>
      <c r="O68" s="23"/>
      <c r="P68" s="23"/>
      <c r="Q68" s="23"/>
      <c r="R68" s="23"/>
      <c r="S68" s="23"/>
      <c r="T68" s="23"/>
      <c r="U68" s="23"/>
      <c r="V68" s="23" t="s">
        <v>7</v>
      </c>
      <c r="W68" s="23" t="s">
        <v>7</v>
      </c>
      <c r="X68" s="23" t="s">
        <v>7</v>
      </c>
      <c r="Y68" s="23" t="b">
        <v>0</v>
      </c>
      <c r="Z68" s="23" t="b">
        <v>0</v>
      </c>
      <c r="AA68" s="26" t="s">
        <v>8</v>
      </c>
      <c r="AB68" s="23" t="b">
        <v>0</v>
      </c>
      <c r="AC68" s="26" t="s">
        <v>15</v>
      </c>
      <c r="AD68" s="23">
        <v>0</v>
      </c>
      <c r="AE68" s="23" t="b">
        <v>0</v>
      </c>
      <c r="AF68" s="23"/>
      <c r="AG68" s="23"/>
      <c r="AH68" s="23"/>
      <c r="AI68" s="23"/>
      <c r="AJ68" s="23" t="s">
        <v>10</v>
      </c>
      <c r="AK68" s="23"/>
      <c r="AL68" s="23"/>
      <c r="AM68" s="23"/>
      <c r="AN68" s="23"/>
      <c r="AO68" s="23"/>
      <c r="AP68" s="23" t="s">
        <v>11</v>
      </c>
      <c r="AQ68" s="23" t="s">
        <v>17</v>
      </c>
      <c r="AR68" s="26"/>
      <c r="AS68" s="23">
        <v>15604040</v>
      </c>
      <c r="AT68" s="26">
        <v>259478655</v>
      </c>
      <c r="AU68" s="23" t="s">
        <v>13</v>
      </c>
      <c r="AV68" s="23" t="b">
        <v>1</v>
      </c>
      <c r="AW68" s="26" t="s">
        <v>72</v>
      </c>
      <c r="AX68" s="26">
        <v>42205.273611111108</v>
      </c>
      <c r="AY68" s="26" t="s">
        <v>72</v>
      </c>
      <c r="AZ68" s="26">
        <v>42205.273611111108</v>
      </c>
      <c r="BB68" s="9" t="str">
        <f t="shared" si="4"/>
        <v>No</v>
      </c>
      <c r="BC68" s="9" t="str">
        <f>IF(EFB!$N68=Table1[[#This Row],[ProgramTitle]],"Yes","No")</f>
        <v>Yes</v>
      </c>
      <c r="BD68" s="9" t="str">
        <f>IF(EFB!$S68=Table1[[#This Row],[SeriesEpisodeTitle]],"Yes","No")</f>
        <v>Yes</v>
      </c>
      <c r="BE68" s="11">
        <f t="shared" si="6"/>
        <v>4.1666666666666664E-2</v>
      </c>
      <c r="BF68" s="11">
        <f t="shared" si="7"/>
        <v>0</v>
      </c>
      <c r="BH68" s="21">
        <f>Table1[[#This Row],[StartTime]]+$BG$2</f>
        <v>4.1666666666666664E-2</v>
      </c>
    </row>
    <row r="69" spans="1:60" x14ac:dyDescent="0.25">
      <c r="A69" s="16"/>
      <c r="B69" s="2"/>
      <c r="C69" s="17">
        <f t="shared" si="5"/>
        <v>4.1666666666666664E-2</v>
      </c>
      <c r="D69" s="16"/>
      <c r="E69" s="16"/>
      <c r="G69" s="23"/>
      <c r="H69" s="23"/>
      <c r="I69" s="23"/>
      <c r="J69" s="25"/>
      <c r="K69" s="24"/>
      <c r="L69" s="25"/>
      <c r="M69" s="25"/>
      <c r="N69" s="23"/>
      <c r="O69" s="23"/>
      <c r="P69" s="23"/>
      <c r="Q69" s="23"/>
      <c r="R69" s="23"/>
      <c r="S69" s="23"/>
      <c r="T69" s="23"/>
      <c r="U69" s="23"/>
      <c r="V69" s="23" t="s">
        <v>7</v>
      </c>
      <c r="W69" s="23" t="s">
        <v>7</v>
      </c>
      <c r="X69" s="23" t="s">
        <v>7</v>
      </c>
      <c r="Y69" s="23" t="b">
        <v>0</v>
      </c>
      <c r="Z69" s="23" t="b">
        <v>0</v>
      </c>
      <c r="AA69" s="26" t="s">
        <v>8</v>
      </c>
      <c r="AB69" s="23" t="b">
        <v>0</v>
      </c>
      <c r="AC69" s="26" t="s">
        <v>18</v>
      </c>
      <c r="AD69" s="23">
        <v>0</v>
      </c>
      <c r="AE69" s="23" t="b">
        <v>0</v>
      </c>
      <c r="AF69" s="23"/>
      <c r="AG69" s="23"/>
      <c r="AH69" s="23"/>
      <c r="AI69" s="23"/>
      <c r="AJ69" s="23" t="s">
        <v>10</v>
      </c>
      <c r="AK69" s="23"/>
      <c r="AL69" s="23"/>
      <c r="AM69" s="23"/>
      <c r="AN69" s="23"/>
      <c r="AO69" s="23"/>
      <c r="AP69" s="23" t="s">
        <v>11</v>
      </c>
      <c r="AQ69" s="23" t="s">
        <v>17</v>
      </c>
      <c r="AR69" s="26"/>
      <c r="AS69" s="23">
        <v>15475321</v>
      </c>
      <c r="AT69" s="26">
        <v>259478654</v>
      </c>
      <c r="AU69" s="23" t="s">
        <v>13</v>
      </c>
      <c r="AV69" s="23" t="b">
        <v>1</v>
      </c>
      <c r="AW69" s="26" t="s">
        <v>72</v>
      </c>
      <c r="AX69" s="26">
        <v>42205.273611111108</v>
      </c>
      <c r="AY69" s="26" t="s">
        <v>72</v>
      </c>
      <c r="AZ69" s="26">
        <v>42205.273611111108</v>
      </c>
      <c r="BB69" s="9" t="str">
        <f t="shared" si="4"/>
        <v>No</v>
      </c>
      <c r="BC69" s="9" t="str">
        <f>IF(EFB!$N69=Table1[[#This Row],[ProgramTitle]],"Yes","No")</f>
        <v>Yes</v>
      </c>
      <c r="BD69" s="9" t="str">
        <f>IF(EFB!$S69=Table1[[#This Row],[SeriesEpisodeTitle]],"Yes","No")</f>
        <v>Yes</v>
      </c>
      <c r="BE69" s="11">
        <f t="shared" si="6"/>
        <v>4.1666666666666664E-2</v>
      </c>
      <c r="BF69" s="11">
        <f t="shared" si="7"/>
        <v>0</v>
      </c>
      <c r="BH69" s="21">
        <f>Table1[[#This Row],[StartTime]]+$BG$2</f>
        <v>4.1666666666666664E-2</v>
      </c>
    </row>
    <row r="70" spans="1:60" x14ac:dyDescent="0.25">
      <c r="A70" s="16"/>
      <c r="B70" s="2"/>
      <c r="C70" s="17">
        <f t="shared" si="5"/>
        <v>4.1666666666666664E-2</v>
      </c>
      <c r="D70" s="16"/>
      <c r="E70" s="16"/>
      <c r="G70" s="23"/>
      <c r="H70" s="23"/>
      <c r="I70" s="23"/>
      <c r="J70" s="25"/>
      <c r="K70" s="24"/>
      <c r="L70" s="25"/>
      <c r="M70" s="25"/>
      <c r="N70" s="23"/>
      <c r="O70" s="23"/>
      <c r="P70" s="23"/>
      <c r="Q70" s="23"/>
      <c r="R70" s="23"/>
      <c r="S70" s="23"/>
      <c r="T70" s="23"/>
      <c r="U70" s="23" t="s">
        <v>7</v>
      </c>
      <c r="V70" s="23" t="s">
        <v>7</v>
      </c>
      <c r="W70" s="23" t="s">
        <v>7</v>
      </c>
      <c r="X70" s="23" t="s">
        <v>7</v>
      </c>
      <c r="Y70" s="23" t="b">
        <v>0</v>
      </c>
      <c r="Z70" s="23" t="b">
        <v>0</v>
      </c>
      <c r="AA70" s="26" t="s">
        <v>8</v>
      </c>
      <c r="AB70" s="23" t="b">
        <v>0</v>
      </c>
      <c r="AC70" s="26" t="s">
        <v>15</v>
      </c>
      <c r="AD70" s="23">
        <v>0</v>
      </c>
      <c r="AE70" s="23" t="b">
        <v>0</v>
      </c>
      <c r="AF70" s="23"/>
      <c r="AG70" s="23"/>
      <c r="AH70" s="23"/>
      <c r="AI70" s="23"/>
      <c r="AJ70" s="23" t="s">
        <v>10</v>
      </c>
      <c r="AK70" s="23"/>
      <c r="AL70" s="23"/>
      <c r="AM70" s="23"/>
      <c r="AN70" s="23"/>
      <c r="AO70" s="23"/>
      <c r="AP70" s="23" t="s">
        <v>11</v>
      </c>
      <c r="AQ70" s="23" t="s">
        <v>17</v>
      </c>
      <c r="AR70" s="23"/>
      <c r="AS70" s="23">
        <v>15329153</v>
      </c>
      <c r="AT70" s="23">
        <v>259478643</v>
      </c>
      <c r="AU70" s="23" t="s">
        <v>13</v>
      </c>
      <c r="AV70" s="23" t="b">
        <v>1</v>
      </c>
      <c r="AW70" s="26" t="s">
        <v>72</v>
      </c>
      <c r="AX70" s="26">
        <v>42205.273611111108</v>
      </c>
      <c r="AY70" s="26" t="s">
        <v>72</v>
      </c>
      <c r="AZ70" s="26">
        <v>42205.273611111108</v>
      </c>
      <c r="BB70" s="9" t="str">
        <f t="shared" si="4"/>
        <v>No</v>
      </c>
      <c r="BC70" s="9" t="str">
        <f>IF(EFB!$N70=Table1[[#This Row],[ProgramTitle]],"Yes","No")</f>
        <v>Yes</v>
      </c>
      <c r="BD70" s="9" t="str">
        <f>IF(EFB!$S70=Table1[[#This Row],[SeriesEpisodeTitle]],"Yes","No")</f>
        <v>Yes</v>
      </c>
      <c r="BE70" s="11">
        <f t="shared" si="6"/>
        <v>4.1666666666666664E-2</v>
      </c>
      <c r="BF70" s="11">
        <f t="shared" si="7"/>
        <v>0</v>
      </c>
      <c r="BH70" s="21">
        <f>Table1[[#This Row],[StartTime]]+$BG$2</f>
        <v>4.1666666666666664E-2</v>
      </c>
    </row>
    <row r="71" spans="1:60" s="4" customFormat="1" x14ac:dyDescent="0.25">
      <c r="A71" s="16"/>
      <c r="B71" s="2"/>
      <c r="C71" s="17">
        <f t="shared" si="5"/>
        <v>4.1666666666666664E-2</v>
      </c>
      <c r="D71" s="16"/>
      <c r="E71" s="16"/>
      <c r="F71" s="18"/>
      <c r="G71" s="23"/>
      <c r="H71" s="23"/>
      <c r="I71" s="23"/>
      <c r="J71" s="25"/>
      <c r="K71" s="24"/>
      <c r="L71" s="25"/>
      <c r="M71" s="25"/>
      <c r="N71" s="23"/>
      <c r="O71" s="23"/>
      <c r="P71" s="23"/>
      <c r="Q71" s="23"/>
      <c r="R71" s="23"/>
      <c r="S71" s="23"/>
      <c r="T71" s="23"/>
      <c r="U71" s="23" t="s">
        <v>7</v>
      </c>
      <c r="V71" s="23" t="s">
        <v>7</v>
      </c>
      <c r="W71" s="23" t="s">
        <v>7</v>
      </c>
      <c r="X71" s="23" t="s">
        <v>7</v>
      </c>
      <c r="Y71" s="23" t="b">
        <v>0</v>
      </c>
      <c r="Z71" s="23" t="b">
        <v>0</v>
      </c>
      <c r="AA71" s="26" t="s">
        <v>8</v>
      </c>
      <c r="AB71" s="23" t="b">
        <v>0</v>
      </c>
      <c r="AC71" s="26" t="s">
        <v>70</v>
      </c>
      <c r="AD71" s="23">
        <v>0</v>
      </c>
      <c r="AE71" s="23" t="b">
        <v>0</v>
      </c>
      <c r="AF71" s="23"/>
      <c r="AG71" s="23"/>
      <c r="AH71" s="23"/>
      <c r="AI71" s="23"/>
      <c r="AJ71" s="23" t="s">
        <v>16</v>
      </c>
      <c r="AK71" s="23"/>
      <c r="AL71" s="23"/>
      <c r="AM71" s="23"/>
      <c r="AN71" s="23"/>
      <c r="AO71" s="23"/>
      <c r="AP71" s="23" t="s">
        <v>11</v>
      </c>
      <c r="AQ71" s="23" t="s">
        <v>17</v>
      </c>
      <c r="AR71" s="23"/>
      <c r="AS71" s="23">
        <v>17359079</v>
      </c>
      <c r="AT71" s="23">
        <v>259478685</v>
      </c>
      <c r="AU71" s="23" t="s">
        <v>13</v>
      </c>
      <c r="AV71" s="23" t="b">
        <v>1</v>
      </c>
      <c r="AW71" s="26" t="s">
        <v>72</v>
      </c>
      <c r="AX71" s="26">
        <v>42205.273611111108</v>
      </c>
      <c r="AY71" s="26" t="s">
        <v>72</v>
      </c>
      <c r="AZ71" s="26">
        <v>42205.273611111108</v>
      </c>
      <c r="BA71" s="13"/>
      <c r="BB71" s="9" t="str">
        <f t="shared" si="4"/>
        <v>No</v>
      </c>
      <c r="BC71" s="9" t="str">
        <f>IF(EFB!$N71=Table1[[#This Row],[ProgramTitle]],"Yes","No")</f>
        <v>Yes</v>
      </c>
      <c r="BD71" s="9" t="str">
        <f>IF(EFB!$S71=Table1[[#This Row],[SeriesEpisodeTitle]],"Yes","No")</f>
        <v>Yes</v>
      </c>
      <c r="BE71" s="11">
        <f t="shared" si="6"/>
        <v>4.1666666666666664E-2</v>
      </c>
      <c r="BF71" s="11">
        <f t="shared" si="7"/>
        <v>0</v>
      </c>
      <c r="BH71" s="21">
        <f>Table1[[#This Row],[StartTime]]+$BG$2</f>
        <v>4.1666666666666664E-2</v>
      </c>
    </row>
    <row r="72" spans="1:60" x14ac:dyDescent="0.25">
      <c r="A72" s="16"/>
      <c r="B72" s="2"/>
      <c r="C72" s="17">
        <f t="shared" si="5"/>
        <v>4.1666666666666664E-2</v>
      </c>
      <c r="D72" s="16"/>
      <c r="E72" s="16"/>
      <c r="G72" s="23"/>
      <c r="H72" s="23"/>
      <c r="I72" s="23"/>
      <c r="J72" s="25"/>
      <c r="K72" s="24"/>
      <c r="L72" s="25"/>
      <c r="M72" s="25"/>
      <c r="N72" s="23"/>
      <c r="O72" s="23"/>
      <c r="P72" s="23"/>
      <c r="Q72" s="23"/>
      <c r="R72" s="23"/>
      <c r="S72" s="23"/>
      <c r="T72" s="23"/>
      <c r="U72" s="23" t="s">
        <v>7</v>
      </c>
      <c r="V72" s="23" t="s">
        <v>7</v>
      </c>
      <c r="W72" s="23" t="s">
        <v>7</v>
      </c>
      <c r="X72" s="23" t="s">
        <v>7</v>
      </c>
      <c r="Y72" s="23" t="b">
        <v>0</v>
      </c>
      <c r="Z72" s="23" t="b">
        <v>0</v>
      </c>
      <c r="AA72" s="26" t="s">
        <v>8</v>
      </c>
      <c r="AB72" s="23" t="b">
        <v>0</v>
      </c>
      <c r="AC72" s="26" t="s">
        <v>15</v>
      </c>
      <c r="AD72" s="23">
        <v>0</v>
      </c>
      <c r="AE72" s="23" t="b">
        <v>0</v>
      </c>
      <c r="AF72" s="23"/>
      <c r="AG72" s="23"/>
      <c r="AH72" s="23"/>
      <c r="AI72" s="23"/>
      <c r="AJ72" s="23" t="s">
        <v>16</v>
      </c>
      <c r="AK72" s="23"/>
      <c r="AL72" s="23"/>
      <c r="AM72" s="23"/>
      <c r="AN72" s="23"/>
      <c r="AO72" s="23"/>
      <c r="AP72" s="23" t="s">
        <v>11</v>
      </c>
      <c r="AQ72" s="23" t="s">
        <v>17</v>
      </c>
      <c r="AR72" s="23"/>
      <c r="AS72" s="23">
        <v>22642711</v>
      </c>
      <c r="AT72" s="23">
        <v>259478770</v>
      </c>
      <c r="AU72" s="23" t="s">
        <v>13</v>
      </c>
      <c r="AV72" s="23" t="b">
        <v>1</v>
      </c>
      <c r="AW72" s="26" t="s">
        <v>72</v>
      </c>
      <c r="AX72" s="26">
        <v>42205.273611111108</v>
      </c>
      <c r="AY72" s="26" t="s">
        <v>72</v>
      </c>
      <c r="AZ72" s="26">
        <v>42205.273611111108</v>
      </c>
      <c r="BB72" s="9" t="str">
        <f t="shared" si="4"/>
        <v>No</v>
      </c>
      <c r="BC72" s="9" t="str">
        <f>IF(EFB!$N72=Table1[[#This Row],[ProgramTitle]],"Yes","No")</f>
        <v>Yes</v>
      </c>
      <c r="BD72" s="9" t="str">
        <f>IF(EFB!$S72=Table1[[#This Row],[SeriesEpisodeTitle]],"Yes","No")</f>
        <v>Yes</v>
      </c>
      <c r="BE72" s="11">
        <f t="shared" si="6"/>
        <v>4.1666666666666664E-2</v>
      </c>
      <c r="BF72" s="11">
        <f t="shared" si="7"/>
        <v>0</v>
      </c>
      <c r="BH72" s="21">
        <f>Table1[[#This Row],[StartTime]]+$BG$2</f>
        <v>4.1666666666666664E-2</v>
      </c>
    </row>
    <row r="73" spans="1:60" x14ac:dyDescent="0.25">
      <c r="A73" s="16"/>
      <c r="B73" s="2"/>
      <c r="C73" s="17">
        <f t="shared" si="5"/>
        <v>4.1666666666666664E-2</v>
      </c>
      <c r="D73" s="16"/>
      <c r="E73" s="16"/>
      <c r="G73" s="23"/>
      <c r="H73" s="23"/>
      <c r="I73" s="23"/>
      <c r="J73" s="25"/>
      <c r="K73" s="24"/>
      <c r="L73" s="25"/>
      <c r="M73" s="25"/>
      <c r="N73" s="23"/>
      <c r="O73" s="23"/>
      <c r="P73" s="23"/>
      <c r="Q73" s="23"/>
      <c r="R73" s="23"/>
      <c r="S73" s="23"/>
      <c r="T73" s="23"/>
      <c r="U73" s="23" t="s">
        <v>7</v>
      </c>
      <c r="V73" s="23" t="s">
        <v>7</v>
      </c>
      <c r="W73" s="23" t="s">
        <v>7</v>
      </c>
      <c r="X73" s="23" t="s">
        <v>7</v>
      </c>
      <c r="Y73" s="23" t="b">
        <v>0</v>
      </c>
      <c r="Z73" s="23" t="b">
        <v>0</v>
      </c>
      <c r="AA73" s="26" t="s">
        <v>8</v>
      </c>
      <c r="AB73" s="23" t="b">
        <v>0</v>
      </c>
      <c r="AC73" s="26" t="s">
        <v>9</v>
      </c>
      <c r="AD73" s="23">
        <v>0</v>
      </c>
      <c r="AE73" s="23" t="b">
        <v>0</v>
      </c>
      <c r="AF73" s="23"/>
      <c r="AG73" s="23"/>
      <c r="AH73" s="23"/>
      <c r="AI73" s="23"/>
      <c r="AJ73" s="23" t="s">
        <v>10</v>
      </c>
      <c r="AK73" s="23"/>
      <c r="AL73" s="23"/>
      <c r="AM73" s="23"/>
      <c r="AN73" s="23"/>
      <c r="AO73" s="23"/>
      <c r="AP73" s="23" t="s">
        <v>11</v>
      </c>
      <c r="AQ73" s="23" t="s">
        <v>12</v>
      </c>
      <c r="AR73" s="23"/>
      <c r="AS73" s="23">
        <v>22808296</v>
      </c>
      <c r="AT73" s="23">
        <v>259478782</v>
      </c>
      <c r="AU73" s="23" t="s">
        <v>13</v>
      </c>
      <c r="AV73" s="23" t="b">
        <v>1</v>
      </c>
      <c r="AW73" s="26" t="s">
        <v>71</v>
      </c>
      <c r="AX73" s="26">
        <v>42205.286111111112</v>
      </c>
      <c r="AY73" s="26" t="s">
        <v>71</v>
      </c>
      <c r="AZ73" s="26">
        <v>42205.286111111112</v>
      </c>
      <c r="BB73" s="9" t="str">
        <f t="shared" si="4"/>
        <v>No</v>
      </c>
      <c r="BC73" s="9" t="str">
        <f>IF(EFB!$N73=Table1[[#This Row],[ProgramTitle]],"Yes","No")</f>
        <v>Yes</v>
      </c>
      <c r="BD73" s="9" t="str">
        <f>IF(EFB!$S73=Table1[[#This Row],[SeriesEpisodeTitle]],"Yes","No")</f>
        <v>Yes</v>
      </c>
      <c r="BE73" s="11">
        <f t="shared" si="6"/>
        <v>4.1666666666666664E-2</v>
      </c>
      <c r="BF73" s="11">
        <f t="shared" si="7"/>
        <v>0</v>
      </c>
      <c r="BH73" s="21">
        <f>Table1[[#This Row],[StartTime]]+$BG$2</f>
        <v>4.1666666666666664E-2</v>
      </c>
    </row>
    <row r="74" spans="1:60" x14ac:dyDescent="0.25">
      <c r="A74" s="16"/>
      <c r="B74" s="2"/>
      <c r="C74" s="17">
        <f t="shared" si="5"/>
        <v>4.1666666666666664E-2</v>
      </c>
      <c r="D74" s="16"/>
      <c r="E74" s="16"/>
      <c r="G74" s="1"/>
      <c r="H74" s="1"/>
      <c r="I74" s="1"/>
      <c r="J74" s="22"/>
      <c r="K74" s="33"/>
      <c r="L74" s="22"/>
      <c r="M74" s="22"/>
      <c r="N74" s="1"/>
      <c r="O74" s="1"/>
      <c r="P74" s="1"/>
      <c r="Q74" s="1"/>
      <c r="R74" s="1"/>
      <c r="S74" s="1"/>
      <c r="T74" s="3"/>
      <c r="U74" s="3" t="s">
        <v>7</v>
      </c>
      <c r="V74" s="3" t="s">
        <v>7</v>
      </c>
      <c r="W74" s="3" t="s">
        <v>7</v>
      </c>
      <c r="X74" s="3" t="s">
        <v>7</v>
      </c>
      <c r="Y74" s="3" t="b">
        <v>0</v>
      </c>
      <c r="Z74" s="3" t="b">
        <v>0</v>
      </c>
      <c r="AA74" s="34" t="s">
        <v>8</v>
      </c>
      <c r="AB74" s="3" t="b">
        <v>0</v>
      </c>
      <c r="AC74" s="34" t="s">
        <v>15</v>
      </c>
      <c r="AD74" s="3">
        <v>0</v>
      </c>
      <c r="AE74" s="3" t="b">
        <v>0</v>
      </c>
      <c r="AF74" s="3"/>
      <c r="AG74" s="3"/>
      <c r="AH74" s="3"/>
      <c r="AI74" s="3"/>
      <c r="AJ74" s="3" t="s">
        <v>16</v>
      </c>
      <c r="AK74" s="3"/>
      <c r="AL74" s="3"/>
      <c r="AM74" s="3"/>
      <c r="AN74" s="3"/>
      <c r="AO74" s="3"/>
      <c r="AP74" s="3" t="s">
        <v>11</v>
      </c>
      <c r="AQ74" s="3" t="s">
        <v>17</v>
      </c>
      <c r="AR74" s="3"/>
      <c r="AS74" s="3">
        <v>24324654</v>
      </c>
      <c r="AT74" s="3">
        <v>259478789</v>
      </c>
      <c r="AU74" s="3" t="s">
        <v>13</v>
      </c>
      <c r="AV74" s="3" t="b">
        <v>1</v>
      </c>
      <c r="AW74" s="34" t="s">
        <v>72</v>
      </c>
      <c r="AX74" s="34">
        <v>42205.273611111108</v>
      </c>
      <c r="AY74" s="34" t="s">
        <v>72</v>
      </c>
      <c r="AZ74" s="34">
        <v>42205.273611111108</v>
      </c>
      <c r="BB74" s="9" t="str">
        <f t="shared" si="4"/>
        <v>No</v>
      </c>
      <c r="BC74" s="9" t="str">
        <f>IF(EFB!$N74=Table1[[#This Row],[ProgramTitle]],"Yes","No")</f>
        <v>Yes</v>
      </c>
      <c r="BD74" s="9" t="str">
        <f>IF(EFB!$S74=Table1[[#This Row],[SeriesEpisodeTitle]],"Yes","No")</f>
        <v>Yes</v>
      </c>
      <c r="BE74" s="11">
        <f t="shared" si="6"/>
        <v>4.1666666666666664E-2</v>
      </c>
      <c r="BF74" s="11">
        <f t="shared" si="7"/>
        <v>0</v>
      </c>
      <c r="BH74" s="21">
        <f>Table1[[#This Row],[StartTime]]+$BG$2</f>
        <v>4.1666666666666664E-2</v>
      </c>
    </row>
    <row r="75" spans="1:60" x14ac:dyDescent="0.25">
      <c r="A75" s="16"/>
      <c r="B75" s="2"/>
      <c r="C75" s="17">
        <f t="shared" si="5"/>
        <v>4.1666666666666664E-2</v>
      </c>
      <c r="D75" s="16"/>
      <c r="E75" s="16"/>
      <c r="G75" s="1"/>
      <c r="H75" s="1"/>
      <c r="I75" s="1"/>
      <c r="J75" s="22"/>
      <c r="K75" s="33"/>
      <c r="L75" s="22"/>
      <c r="M75" s="22"/>
      <c r="N75" s="1"/>
      <c r="O75" s="1"/>
      <c r="P75" s="1"/>
      <c r="Q75" s="1"/>
      <c r="R75" s="1"/>
      <c r="S75" s="1"/>
      <c r="T75" s="3"/>
      <c r="U75" s="3" t="s">
        <v>7</v>
      </c>
      <c r="V75" s="3" t="s">
        <v>7</v>
      </c>
      <c r="W75" s="3" t="s">
        <v>7</v>
      </c>
      <c r="X75" s="3" t="s">
        <v>7</v>
      </c>
      <c r="Y75" s="3" t="b">
        <v>0</v>
      </c>
      <c r="Z75" s="3" t="b">
        <v>0</v>
      </c>
      <c r="AA75" s="34" t="s">
        <v>8</v>
      </c>
      <c r="AB75" s="3" t="b">
        <v>0</v>
      </c>
      <c r="AC75" s="34" t="s">
        <v>73</v>
      </c>
      <c r="AD75" s="3">
        <v>0</v>
      </c>
      <c r="AE75" s="3" t="b">
        <v>0</v>
      </c>
      <c r="AF75" s="3"/>
      <c r="AG75" s="3"/>
      <c r="AH75" s="3"/>
      <c r="AI75" s="3"/>
      <c r="AJ75" s="3" t="s">
        <v>16</v>
      </c>
      <c r="AK75" s="3"/>
      <c r="AL75" s="3"/>
      <c r="AM75" s="3"/>
      <c r="AN75" s="3"/>
      <c r="AO75" s="3"/>
      <c r="AP75" s="3" t="s">
        <v>11</v>
      </c>
      <c r="AQ75" s="3" t="s">
        <v>17</v>
      </c>
      <c r="AR75" s="3"/>
      <c r="AS75" s="3">
        <v>27580034</v>
      </c>
      <c r="AT75" s="3">
        <v>259478864</v>
      </c>
      <c r="AU75" s="3" t="s">
        <v>13</v>
      </c>
      <c r="AV75" s="3" t="b">
        <v>1</v>
      </c>
      <c r="AW75" s="34" t="s">
        <v>72</v>
      </c>
      <c r="AX75" s="34">
        <v>42205.273611111108</v>
      </c>
      <c r="AY75" s="34" t="s">
        <v>72</v>
      </c>
      <c r="AZ75" s="34">
        <v>42205.273611111108</v>
      </c>
      <c r="BB75" s="9" t="str">
        <f t="shared" si="4"/>
        <v>No</v>
      </c>
      <c r="BC75" s="9" t="str">
        <f>IF(EFB!$N75=Table1[[#This Row],[ProgramTitle]],"Yes","No")</f>
        <v>Yes</v>
      </c>
      <c r="BD75" s="9" t="str">
        <f>IF(EFB!$S75=Table1[[#This Row],[SeriesEpisodeTitle]],"Yes","No")</f>
        <v>Yes</v>
      </c>
      <c r="BE75" s="11">
        <f t="shared" si="6"/>
        <v>4.1666666666666664E-2</v>
      </c>
      <c r="BF75" s="11">
        <f t="shared" si="7"/>
        <v>0</v>
      </c>
      <c r="BH75" s="21">
        <f>Table1[[#This Row],[StartTime]]+$BG$2</f>
        <v>4.1666666666666664E-2</v>
      </c>
    </row>
    <row r="76" spans="1:60" x14ac:dyDescent="0.25">
      <c r="A76" s="16"/>
      <c r="B76" s="2"/>
      <c r="C76" s="17">
        <f t="shared" si="5"/>
        <v>4.1666666666666664E-2</v>
      </c>
      <c r="D76" s="16"/>
      <c r="E76" s="16"/>
      <c r="G76" s="1"/>
      <c r="H76" s="1"/>
      <c r="I76" s="1"/>
      <c r="J76" s="22"/>
      <c r="K76" s="33"/>
      <c r="L76" s="22"/>
      <c r="M76" s="22"/>
      <c r="N76" s="1"/>
      <c r="O76" s="1"/>
      <c r="P76" s="1"/>
      <c r="Q76" s="1"/>
      <c r="R76" s="1"/>
      <c r="S76" s="1"/>
      <c r="T76" s="3"/>
      <c r="U76" s="3" t="s">
        <v>7</v>
      </c>
      <c r="V76" s="3" t="s">
        <v>7</v>
      </c>
      <c r="W76" s="3" t="s">
        <v>7</v>
      </c>
      <c r="X76" s="3" t="s">
        <v>7</v>
      </c>
      <c r="Y76" s="3" t="b">
        <v>0</v>
      </c>
      <c r="Z76" s="3" t="b">
        <v>0</v>
      </c>
      <c r="AA76" s="34" t="s">
        <v>8</v>
      </c>
      <c r="AB76" s="3" t="b">
        <v>0</v>
      </c>
      <c r="AC76" s="34" t="s">
        <v>15</v>
      </c>
      <c r="AD76" s="3">
        <v>0</v>
      </c>
      <c r="AE76" s="3" t="b">
        <v>0</v>
      </c>
      <c r="AF76" s="3"/>
      <c r="AG76" s="3"/>
      <c r="AH76" s="3"/>
      <c r="AI76" s="3"/>
      <c r="AJ76" s="3" t="s">
        <v>10</v>
      </c>
      <c r="AK76" s="3"/>
      <c r="AL76" s="3"/>
      <c r="AM76" s="3"/>
      <c r="AN76" s="3"/>
      <c r="AO76" s="3"/>
      <c r="AP76" s="3" t="s">
        <v>11</v>
      </c>
      <c r="AQ76" s="3" t="s">
        <v>17</v>
      </c>
      <c r="AR76" s="3"/>
      <c r="AS76" s="3">
        <v>15340174</v>
      </c>
      <c r="AT76" s="3">
        <v>259478646</v>
      </c>
      <c r="AU76" s="3" t="s">
        <v>13</v>
      </c>
      <c r="AV76" s="3" t="b">
        <v>1</v>
      </c>
      <c r="AW76" s="34" t="s">
        <v>72</v>
      </c>
      <c r="AX76" s="34">
        <v>42205.273611111108</v>
      </c>
      <c r="AY76" s="34" t="s">
        <v>72</v>
      </c>
      <c r="AZ76" s="34">
        <v>42205.273611111108</v>
      </c>
      <c r="BB76" s="9" t="str">
        <f t="shared" si="4"/>
        <v>No</v>
      </c>
      <c r="BC76" s="9" t="str">
        <f>IF(EFB!$N76=Table1[[#This Row],[ProgramTitle]],"Yes","No")</f>
        <v>Yes</v>
      </c>
      <c r="BD76" s="9" t="str">
        <f>IF(EFB!$S76=Table1[[#This Row],[SeriesEpisodeTitle]],"Yes","No")</f>
        <v>Yes</v>
      </c>
      <c r="BE76" s="11">
        <f t="shared" si="6"/>
        <v>4.1666666666666664E-2</v>
      </c>
      <c r="BF76" s="11">
        <f t="shared" si="7"/>
        <v>0</v>
      </c>
      <c r="BH76" s="21">
        <f>Table1[[#This Row],[StartTime]]+$BG$2</f>
        <v>4.1666666666666664E-2</v>
      </c>
    </row>
    <row r="77" spans="1:60" s="4" customFormat="1" x14ac:dyDescent="0.25">
      <c r="A77" s="16"/>
      <c r="B77" s="2"/>
      <c r="C77" s="17">
        <f t="shared" si="5"/>
        <v>4.1666666666666664E-2</v>
      </c>
      <c r="D77" s="16"/>
      <c r="E77" s="16"/>
      <c r="F77" s="18"/>
      <c r="G77" s="1"/>
      <c r="H77" s="1"/>
      <c r="I77" s="1"/>
      <c r="J77" s="22"/>
      <c r="K77" s="33"/>
      <c r="L77" s="22"/>
      <c r="M77" s="22"/>
      <c r="N77" s="1"/>
      <c r="O77" s="1"/>
      <c r="P77" s="1"/>
      <c r="Q77" s="1"/>
      <c r="R77" s="1"/>
      <c r="S77" s="1"/>
      <c r="T77" s="3"/>
      <c r="U77" s="3" t="s">
        <v>7</v>
      </c>
      <c r="V77" s="3" t="s">
        <v>7</v>
      </c>
      <c r="W77" s="3" t="s">
        <v>7</v>
      </c>
      <c r="X77" s="3" t="s">
        <v>7</v>
      </c>
      <c r="Y77" s="3" t="b">
        <v>0</v>
      </c>
      <c r="Z77" s="3" t="b">
        <v>0</v>
      </c>
      <c r="AA77" s="34" t="s">
        <v>8</v>
      </c>
      <c r="AB77" s="3" t="b">
        <v>0</v>
      </c>
      <c r="AC77" s="34" t="s">
        <v>74</v>
      </c>
      <c r="AD77" s="3">
        <v>0</v>
      </c>
      <c r="AE77" s="3" t="b">
        <v>0</v>
      </c>
      <c r="AF77" s="3"/>
      <c r="AG77" s="3"/>
      <c r="AH77" s="3"/>
      <c r="AI77" s="3"/>
      <c r="AJ77" s="3" t="s">
        <v>16</v>
      </c>
      <c r="AK77" s="3"/>
      <c r="AL77" s="3"/>
      <c r="AM77" s="3"/>
      <c r="AN77" s="3"/>
      <c r="AO77" s="3"/>
      <c r="AP77" s="3" t="s">
        <v>11</v>
      </c>
      <c r="AQ77" s="3" t="s">
        <v>17</v>
      </c>
      <c r="AR77" s="3"/>
      <c r="AS77" s="3">
        <v>27580025</v>
      </c>
      <c r="AT77" s="3">
        <v>259702272</v>
      </c>
      <c r="AU77" s="3" t="s">
        <v>13</v>
      </c>
      <c r="AV77" s="3" t="b">
        <v>1</v>
      </c>
      <c r="AW77" s="34" t="s">
        <v>72</v>
      </c>
      <c r="AX77" s="34">
        <v>42205.273611111108</v>
      </c>
      <c r="AY77" s="34" t="s">
        <v>72</v>
      </c>
      <c r="AZ77" s="34">
        <v>42205.273611111108</v>
      </c>
      <c r="BA77" s="13"/>
      <c r="BB77" s="9" t="str">
        <f t="shared" si="4"/>
        <v>No</v>
      </c>
      <c r="BC77" s="9" t="str">
        <f>IF(EFB!$N77=Table1[[#This Row],[ProgramTitle]],"Yes","No")</f>
        <v>Yes</v>
      </c>
      <c r="BD77" s="9" t="str">
        <f>IF(EFB!$S77=Table1[[#This Row],[SeriesEpisodeTitle]],"Yes","No")</f>
        <v>Yes</v>
      </c>
      <c r="BE77" s="11">
        <f t="shared" si="6"/>
        <v>4.1666666666666664E-2</v>
      </c>
      <c r="BF77" s="11">
        <f t="shared" si="7"/>
        <v>0</v>
      </c>
      <c r="BH77" s="21">
        <f>Table1[[#This Row],[StartTime]]+$BG$2</f>
        <v>4.1666666666666664E-2</v>
      </c>
    </row>
    <row r="78" spans="1:60" x14ac:dyDescent="0.25">
      <c r="A78" s="16"/>
      <c r="B78" s="2"/>
      <c r="C78" s="17">
        <f t="shared" si="5"/>
        <v>4.1666666666666664E-2</v>
      </c>
      <c r="D78" s="16"/>
      <c r="E78" s="16"/>
      <c r="G78" s="1"/>
      <c r="H78" s="1"/>
      <c r="I78" s="1"/>
      <c r="J78" s="22"/>
      <c r="K78" s="33"/>
      <c r="L78" s="22"/>
      <c r="M78" s="22"/>
      <c r="N78" s="1"/>
      <c r="O78" s="1"/>
      <c r="P78" s="1"/>
      <c r="Q78" s="1"/>
      <c r="R78" s="1"/>
      <c r="S78" s="1"/>
      <c r="T78" s="3"/>
      <c r="U78" s="3" t="s">
        <v>7</v>
      </c>
      <c r="V78" s="3" t="s">
        <v>7</v>
      </c>
      <c r="W78" s="3" t="s">
        <v>7</v>
      </c>
      <c r="X78" s="3" t="s">
        <v>7</v>
      </c>
      <c r="Y78" s="3" t="b">
        <v>0</v>
      </c>
      <c r="Z78" s="3" t="b">
        <v>0</v>
      </c>
      <c r="AA78" s="34" t="s">
        <v>8</v>
      </c>
      <c r="AB78" s="3" t="b">
        <v>0</v>
      </c>
      <c r="AC78" s="34" t="s">
        <v>70</v>
      </c>
      <c r="AD78" s="3">
        <v>0</v>
      </c>
      <c r="AE78" s="3" t="b">
        <v>0</v>
      </c>
      <c r="AF78" s="3"/>
      <c r="AG78" s="3"/>
      <c r="AH78" s="3"/>
      <c r="AI78" s="3"/>
      <c r="AJ78" s="3" t="s">
        <v>16</v>
      </c>
      <c r="AK78" s="3"/>
      <c r="AL78" s="3"/>
      <c r="AM78" s="3"/>
      <c r="AN78" s="3"/>
      <c r="AO78" s="3"/>
      <c r="AP78" s="3" t="s">
        <v>11</v>
      </c>
      <c r="AQ78" s="3" t="s">
        <v>17</v>
      </c>
      <c r="AR78" s="3"/>
      <c r="AS78" s="3">
        <v>17359081</v>
      </c>
      <c r="AT78" s="3">
        <v>259478688</v>
      </c>
      <c r="AU78" s="3" t="s">
        <v>13</v>
      </c>
      <c r="AV78" s="3" t="b">
        <v>1</v>
      </c>
      <c r="AW78" s="34" t="s">
        <v>72</v>
      </c>
      <c r="AX78" s="34">
        <v>42205.273611111108</v>
      </c>
      <c r="AY78" s="34" t="s">
        <v>72</v>
      </c>
      <c r="AZ78" s="34">
        <v>42205.273611111108</v>
      </c>
      <c r="BB78" s="9" t="str">
        <f t="shared" si="4"/>
        <v>No</v>
      </c>
      <c r="BC78" s="9" t="str">
        <f>IF(EFB!$N78=Table1[[#This Row],[ProgramTitle]],"Yes","No")</f>
        <v>Yes</v>
      </c>
      <c r="BD78" s="9" t="str">
        <f>IF(EFB!$S78=Table1[[#This Row],[SeriesEpisodeTitle]],"Yes","No")</f>
        <v>Yes</v>
      </c>
      <c r="BE78" s="11">
        <f t="shared" si="6"/>
        <v>4.1666666666666664E-2</v>
      </c>
      <c r="BF78" s="11">
        <f t="shared" si="7"/>
        <v>0</v>
      </c>
      <c r="BH78" s="21">
        <f>Table1[[#This Row],[StartTime]]+$BG$2</f>
        <v>4.1666666666666664E-2</v>
      </c>
    </row>
    <row r="79" spans="1:60" x14ac:dyDescent="0.25">
      <c r="A79" s="16"/>
      <c r="B79" s="2"/>
      <c r="C79" s="17">
        <f t="shared" si="5"/>
        <v>4.1666666666666664E-2</v>
      </c>
      <c r="D79" s="16"/>
      <c r="E79" s="16"/>
      <c r="G79" s="1"/>
      <c r="H79" s="1"/>
      <c r="I79" s="1"/>
      <c r="J79" s="22"/>
      <c r="K79" s="33"/>
      <c r="L79" s="22"/>
      <c r="M79" s="22"/>
      <c r="N79" s="1"/>
      <c r="O79" s="1"/>
      <c r="P79" s="1"/>
      <c r="Q79" s="1"/>
      <c r="R79" s="1"/>
      <c r="S79" s="1"/>
      <c r="T79" s="3"/>
      <c r="U79" s="3" t="s">
        <v>7</v>
      </c>
      <c r="V79" s="3" t="s">
        <v>7</v>
      </c>
      <c r="W79" s="3" t="s">
        <v>7</v>
      </c>
      <c r="X79" s="3" t="s">
        <v>7</v>
      </c>
      <c r="Y79" s="3" t="b">
        <v>0</v>
      </c>
      <c r="Z79" s="3" t="b">
        <v>0</v>
      </c>
      <c r="AA79" s="34" t="s">
        <v>8</v>
      </c>
      <c r="AB79" s="3" t="b">
        <v>0</v>
      </c>
      <c r="AC79" s="34" t="s">
        <v>15</v>
      </c>
      <c r="AD79" s="3">
        <v>0</v>
      </c>
      <c r="AE79" s="3" t="b">
        <v>0</v>
      </c>
      <c r="AF79" s="3"/>
      <c r="AG79" s="3"/>
      <c r="AH79" s="3"/>
      <c r="AI79" s="3"/>
      <c r="AJ79" s="3" t="s">
        <v>16</v>
      </c>
      <c r="AK79" s="3"/>
      <c r="AL79" s="3"/>
      <c r="AM79" s="3"/>
      <c r="AN79" s="3"/>
      <c r="AO79" s="3"/>
      <c r="AP79" s="3" t="s">
        <v>11</v>
      </c>
      <c r="AQ79" s="3" t="s">
        <v>17</v>
      </c>
      <c r="AR79" s="3"/>
      <c r="AS79" s="3">
        <v>22642711</v>
      </c>
      <c r="AT79" s="3">
        <v>259478775</v>
      </c>
      <c r="AU79" s="3" t="s">
        <v>13</v>
      </c>
      <c r="AV79" s="3" t="b">
        <v>1</v>
      </c>
      <c r="AW79" s="34" t="s">
        <v>72</v>
      </c>
      <c r="AX79" s="34">
        <v>42205.273611111108</v>
      </c>
      <c r="AY79" s="34" t="s">
        <v>72</v>
      </c>
      <c r="AZ79" s="34">
        <v>42205.273611111108</v>
      </c>
      <c r="BB79" s="9" t="str">
        <f t="shared" si="4"/>
        <v>No</v>
      </c>
      <c r="BC79" s="9" t="str">
        <f>IF(EFB!$N79=Table1[[#This Row],[ProgramTitle]],"Yes","No")</f>
        <v>Yes</v>
      </c>
      <c r="BD79" s="9" t="str">
        <f>IF(EFB!$S79=Table1[[#This Row],[SeriesEpisodeTitle]],"Yes","No")</f>
        <v>Yes</v>
      </c>
      <c r="BE79" s="11">
        <f t="shared" si="6"/>
        <v>4.1666666666666664E-2</v>
      </c>
      <c r="BF79" s="11">
        <f t="shared" si="7"/>
        <v>0</v>
      </c>
      <c r="BH79" s="21">
        <f>Table1[[#This Row],[StartTime]]+$BG$2</f>
        <v>4.1666666666666664E-2</v>
      </c>
    </row>
    <row r="80" spans="1:60" x14ac:dyDescent="0.25">
      <c r="A80" s="16"/>
      <c r="B80" s="2"/>
      <c r="C80" s="17">
        <f t="shared" si="5"/>
        <v>4.1666666666666664E-2</v>
      </c>
      <c r="D80" s="16"/>
      <c r="E80" s="16"/>
      <c r="G80" s="1"/>
      <c r="H80" s="1"/>
      <c r="I80" s="1"/>
      <c r="J80" s="22"/>
      <c r="K80" s="33"/>
      <c r="L80" s="22"/>
      <c r="M80" s="22"/>
      <c r="N80" s="1"/>
      <c r="O80" s="1"/>
      <c r="P80" s="1"/>
      <c r="Q80" s="1"/>
      <c r="R80" s="1"/>
      <c r="S80" s="1"/>
      <c r="T80" s="3"/>
      <c r="U80" s="3" t="s">
        <v>7</v>
      </c>
      <c r="V80" s="3" t="s">
        <v>7</v>
      </c>
      <c r="W80" s="3" t="s">
        <v>7</v>
      </c>
      <c r="X80" s="3" t="s">
        <v>7</v>
      </c>
      <c r="Y80" s="3" t="b">
        <v>0</v>
      </c>
      <c r="Z80" s="3" t="b">
        <v>0</v>
      </c>
      <c r="AA80" s="34" t="s">
        <v>8</v>
      </c>
      <c r="AB80" s="3" t="b">
        <v>0</v>
      </c>
      <c r="AC80" s="34" t="s">
        <v>70</v>
      </c>
      <c r="AD80" s="3">
        <v>0</v>
      </c>
      <c r="AE80" s="3" t="b">
        <v>0</v>
      </c>
      <c r="AF80" s="3"/>
      <c r="AG80" s="3"/>
      <c r="AH80" s="3"/>
      <c r="AI80" s="3"/>
      <c r="AJ80" s="3" t="s">
        <v>16</v>
      </c>
      <c r="AK80" s="3"/>
      <c r="AL80" s="3"/>
      <c r="AM80" s="3"/>
      <c r="AN80" s="3"/>
      <c r="AO80" s="3"/>
      <c r="AP80" s="3" t="s">
        <v>11</v>
      </c>
      <c r="AQ80" s="3" t="s">
        <v>17</v>
      </c>
      <c r="AR80" s="3"/>
      <c r="AS80" s="3">
        <v>17359083</v>
      </c>
      <c r="AT80" s="3">
        <v>259478703</v>
      </c>
      <c r="AU80" s="3" t="s">
        <v>13</v>
      </c>
      <c r="AV80" s="3" t="b">
        <v>1</v>
      </c>
      <c r="AW80" s="34" t="s">
        <v>72</v>
      </c>
      <c r="AX80" s="34">
        <v>42205.273611111108</v>
      </c>
      <c r="AY80" s="34" t="s">
        <v>72</v>
      </c>
      <c r="AZ80" s="34">
        <v>42205.273611111108</v>
      </c>
      <c r="BB80" s="9" t="str">
        <f t="shared" si="4"/>
        <v>No</v>
      </c>
      <c r="BC80" s="9" t="str">
        <f>IF(EFB!$N80=Table1[[#This Row],[ProgramTitle]],"Yes","No")</f>
        <v>Yes</v>
      </c>
      <c r="BD80" s="9" t="str">
        <f>IF(EFB!$S80=Table1[[#This Row],[SeriesEpisodeTitle]],"Yes","No")</f>
        <v>Yes</v>
      </c>
      <c r="BE80" s="11">
        <f t="shared" si="6"/>
        <v>4.1666666666666664E-2</v>
      </c>
      <c r="BF80" s="11">
        <f t="shared" si="7"/>
        <v>0</v>
      </c>
      <c r="BH80" s="21">
        <f>Table1[[#This Row],[StartTime]]+$BG$2</f>
        <v>4.1666666666666664E-2</v>
      </c>
    </row>
    <row r="81" spans="1:60" x14ac:dyDescent="0.25">
      <c r="A81" s="16"/>
      <c r="B81" s="2"/>
      <c r="C81" s="17">
        <f t="shared" si="5"/>
        <v>4.1666666666666664E-2</v>
      </c>
      <c r="D81" s="16"/>
      <c r="E81" s="16"/>
      <c r="G81" s="1"/>
      <c r="H81" s="1"/>
      <c r="I81" s="1"/>
      <c r="J81" s="22"/>
      <c r="K81" s="33"/>
      <c r="L81" s="22"/>
      <c r="M81" s="22"/>
      <c r="N81" s="1"/>
      <c r="O81" s="1"/>
      <c r="P81" s="1"/>
      <c r="Q81" s="1"/>
      <c r="R81" s="1"/>
      <c r="S81" s="1"/>
      <c r="T81" s="3"/>
      <c r="U81" s="3" t="s">
        <v>7</v>
      </c>
      <c r="V81" s="3" t="s">
        <v>7</v>
      </c>
      <c r="W81" s="3" t="s">
        <v>7</v>
      </c>
      <c r="X81" s="3" t="s">
        <v>7</v>
      </c>
      <c r="Y81" s="3" t="b">
        <v>0</v>
      </c>
      <c r="Z81" s="3" t="b">
        <v>0</v>
      </c>
      <c r="AA81" s="34" t="s">
        <v>8</v>
      </c>
      <c r="AB81" s="3" t="b">
        <v>0</v>
      </c>
      <c r="AC81" s="34" t="s">
        <v>74</v>
      </c>
      <c r="AD81" s="3">
        <v>0</v>
      </c>
      <c r="AE81" s="3" t="b">
        <v>0</v>
      </c>
      <c r="AF81" s="3"/>
      <c r="AG81" s="3"/>
      <c r="AH81" s="3"/>
      <c r="AI81" s="3"/>
      <c r="AJ81" s="3" t="s">
        <v>16</v>
      </c>
      <c r="AK81" s="3"/>
      <c r="AL81" s="3"/>
      <c r="AM81" s="3"/>
      <c r="AN81" s="3"/>
      <c r="AO81" s="3"/>
      <c r="AP81" s="3" t="s">
        <v>11</v>
      </c>
      <c r="AQ81" s="3" t="s">
        <v>17</v>
      </c>
      <c r="AR81" s="3"/>
      <c r="AS81" s="3">
        <v>27580025</v>
      </c>
      <c r="AT81" s="3">
        <v>259702271</v>
      </c>
      <c r="AU81" s="3" t="s">
        <v>13</v>
      </c>
      <c r="AV81" s="3" t="b">
        <v>1</v>
      </c>
      <c r="AW81" s="34" t="s">
        <v>72</v>
      </c>
      <c r="AX81" s="34">
        <v>42205.273611111108</v>
      </c>
      <c r="AY81" s="34" t="s">
        <v>72</v>
      </c>
      <c r="AZ81" s="34">
        <v>42205.273611111108</v>
      </c>
      <c r="BB81" s="9" t="str">
        <f t="shared" si="4"/>
        <v>No</v>
      </c>
      <c r="BC81" s="9" t="str">
        <f>IF(EFB!$N81=Table1[[#This Row],[ProgramTitle]],"Yes","No")</f>
        <v>Yes</v>
      </c>
      <c r="BD81" s="9" t="str">
        <f>IF(EFB!$S81=Table1[[#This Row],[SeriesEpisodeTitle]],"Yes","No")</f>
        <v>Yes</v>
      </c>
      <c r="BE81" s="11">
        <f t="shared" si="6"/>
        <v>4.1666666666666664E-2</v>
      </c>
      <c r="BF81" s="11">
        <f t="shared" si="7"/>
        <v>0</v>
      </c>
      <c r="BH81" s="21">
        <f>Table1[[#This Row],[StartTime]]+$BG$2</f>
        <v>4.1666666666666664E-2</v>
      </c>
    </row>
    <row r="82" spans="1:60" x14ac:dyDescent="0.25">
      <c r="A82" s="16"/>
      <c r="B82" s="2"/>
      <c r="C82" s="17">
        <f t="shared" si="5"/>
        <v>4.1666666666666664E-2</v>
      </c>
      <c r="D82" s="16"/>
      <c r="E82" s="16"/>
      <c r="G82" s="1"/>
      <c r="H82" s="1"/>
      <c r="I82" s="1"/>
      <c r="J82" s="22"/>
      <c r="K82" s="33"/>
      <c r="L82" s="22"/>
      <c r="M82" s="22"/>
      <c r="N82" s="1"/>
      <c r="O82" s="1"/>
      <c r="P82" s="1"/>
      <c r="Q82" s="1"/>
      <c r="R82" s="1"/>
      <c r="S82" s="1"/>
      <c r="T82" s="3"/>
      <c r="U82" s="3" t="s">
        <v>7</v>
      </c>
      <c r="V82" s="3" t="s">
        <v>7</v>
      </c>
      <c r="W82" s="3" t="s">
        <v>7</v>
      </c>
      <c r="X82" s="3" t="s">
        <v>7</v>
      </c>
      <c r="Y82" s="3" t="b">
        <v>0</v>
      </c>
      <c r="Z82" s="3" t="b">
        <v>0</v>
      </c>
      <c r="AA82" s="34" t="s">
        <v>8</v>
      </c>
      <c r="AB82" s="3" t="b">
        <v>0</v>
      </c>
      <c r="AC82" s="34" t="s">
        <v>74</v>
      </c>
      <c r="AD82" s="3">
        <v>0</v>
      </c>
      <c r="AE82" s="3" t="b">
        <v>0</v>
      </c>
      <c r="AF82" s="3"/>
      <c r="AG82" s="3" t="s">
        <v>69</v>
      </c>
      <c r="AH82" s="3"/>
      <c r="AI82" s="3"/>
      <c r="AJ82" s="3" t="s">
        <v>16</v>
      </c>
      <c r="AK82" s="3"/>
      <c r="AL82" s="3"/>
      <c r="AM82" s="3"/>
      <c r="AN82" s="3"/>
      <c r="AO82" s="3"/>
      <c r="AP82" s="3" t="s">
        <v>11</v>
      </c>
      <c r="AQ82" s="3" t="s">
        <v>17</v>
      </c>
      <c r="AR82" s="3"/>
      <c r="AS82" s="3">
        <v>27580017</v>
      </c>
      <c r="AT82" s="3">
        <v>259702266</v>
      </c>
      <c r="AU82" s="3" t="s">
        <v>13</v>
      </c>
      <c r="AV82" s="3" t="b">
        <v>1</v>
      </c>
      <c r="AW82" s="34" t="s">
        <v>72</v>
      </c>
      <c r="AX82" s="34">
        <v>42205.273611111108</v>
      </c>
      <c r="AY82" s="34" t="s">
        <v>72</v>
      </c>
      <c r="AZ82" s="34">
        <v>42205.273611111108</v>
      </c>
      <c r="BB82" s="9" t="str">
        <f t="shared" si="4"/>
        <v>No</v>
      </c>
      <c r="BC82" s="9" t="str">
        <f>IF(EFB!$N82=Table1[[#This Row],[ProgramTitle]],"Yes","No")</f>
        <v>Yes</v>
      </c>
      <c r="BD82" s="9" t="str">
        <f>IF(EFB!$S82=Table1[[#This Row],[SeriesEpisodeTitle]],"Yes","No")</f>
        <v>Yes</v>
      </c>
      <c r="BE82" s="11">
        <f t="shared" si="6"/>
        <v>4.1666666666666664E-2</v>
      </c>
      <c r="BF82" s="11">
        <f t="shared" si="7"/>
        <v>0</v>
      </c>
      <c r="BH82" s="21">
        <f>Table1[[#This Row],[StartTime]]+$BG$2</f>
        <v>4.1666666666666664E-2</v>
      </c>
    </row>
    <row r="83" spans="1:60" x14ac:dyDescent="0.25">
      <c r="A83" s="16"/>
      <c r="B83" s="2"/>
      <c r="C83" s="17">
        <f t="shared" si="5"/>
        <v>4.1666666666666664E-2</v>
      </c>
      <c r="D83" s="16"/>
      <c r="E83" s="16"/>
      <c r="G83" s="1"/>
      <c r="H83" s="1"/>
      <c r="I83" s="1"/>
      <c r="J83" s="1"/>
      <c r="K83" s="33"/>
      <c r="L83" s="22"/>
      <c r="M83" s="22"/>
      <c r="N83" s="1"/>
      <c r="O83" s="1"/>
      <c r="P83" s="1"/>
      <c r="Q83" s="1"/>
      <c r="R83" s="1"/>
      <c r="S83" s="1"/>
      <c r="T83" s="3"/>
      <c r="U83" s="3" t="s">
        <v>7</v>
      </c>
      <c r="V83" s="3" t="s">
        <v>7</v>
      </c>
      <c r="W83" s="3" t="s">
        <v>7</v>
      </c>
      <c r="X83" s="3" t="s">
        <v>7</v>
      </c>
      <c r="Y83" s="3" t="b">
        <v>0</v>
      </c>
      <c r="Z83" s="3" t="b">
        <v>0</v>
      </c>
      <c r="AA83" s="34" t="s">
        <v>8</v>
      </c>
      <c r="AB83" s="3" t="b">
        <v>0</v>
      </c>
      <c r="AC83" s="34" t="s">
        <v>70</v>
      </c>
      <c r="AD83" s="3">
        <v>0</v>
      </c>
      <c r="AE83" s="3" t="b">
        <v>0</v>
      </c>
      <c r="AF83" s="3"/>
      <c r="AG83" s="3"/>
      <c r="AH83" s="3"/>
      <c r="AI83" s="3"/>
      <c r="AJ83" s="3" t="s">
        <v>16</v>
      </c>
      <c r="AK83" s="3"/>
      <c r="AL83" s="3"/>
      <c r="AM83" s="3"/>
      <c r="AN83" s="3"/>
      <c r="AO83" s="3"/>
      <c r="AP83" s="3" t="s">
        <v>11</v>
      </c>
      <c r="AQ83" s="3" t="s">
        <v>17</v>
      </c>
      <c r="AR83" s="3"/>
      <c r="AS83" s="3">
        <v>17359083</v>
      </c>
      <c r="AT83" s="3">
        <v>259478701</v>
      </c>
      <c r="AU83" s="3" t="s">
        <v>13</v>
      </c>
      <c r="AV83" s="3" t="b">
        <v>1</v>
      </c>
      <c r="AW83" s="34" t="s">
        <v>72</v>
      </c>
      <c r="AX83" s="34">
        <v>42205.273611111108</v>
      </c>
      <c r="AY83" s="34" t="s">
        <v>72</v>
      </c>
      <c r="AZ83" s="34">
        <v>42205.273611111108</v>
      </c>
      <c r="BB83" s="9" t="str">
        <f t="shared" si="4"/>
        <v>No</v>
      </c>
      <c r="BC83" s="9" t="str">
        <f>IF(EFB!$N83=Table1[[#This Row],[ProgramTitle]],"Yes","No")</f>
        <v>Yes</v>
      </c>
      <c r="BD83" s="9" t="str">
        <f>IF(EFB!$S83=Table1[[#This Row],[SeriesEpisodeTitle]],"Yes","No")</f>
        <v>Yes</v>
      </c>
      <c r="BE83" s="11">
        <f t="shared" si="6"/>
        <v>4.1666666666666664E-2</v>
      </c>
      <c r="BF83" s="11">
        <f t="shared" si="7"/>
        <v>0</v>
      </c>
      <c r="BH83" s="21">
        <f>Table1[[#This Row],[StartTime]]+$BG$2</f>
        <v>4.1666666666666664E-2</v>
      </c>
    </row>
    <row r="84" spans="1:60" x14ac:dyDescent="0.25">
      <c r="A84" s="16"/>
      <c r="B84" s="2"/>
      <c r="C84" s="17">
        <f t="shared" si="5"/>
        <v>4.1666666666666664E-2</v>
      </c>
      <c r="D84" s="16"/>
      <c r="E84" s="16"/>
      <c r="G84" s="1"/>
      <c r="H84" s="1"/>
      <c r="I84" s="1"/>
      <c r="J84" s="1"/>
      <c r="K84" s="33"/>
      <c r="L84" s="22"/>
      <c r="M84" s="22"/>
      <c r="N84" s="1"/>
      <c r="O84" s="1"/>
      <c r="P84" s="1"/>
      <c r="Q84" s="1"/>
      <c r="R84" s="1"/>
      <c r="S84" s="1"/>
      <c r="T84" s="3"/>
      <c r="U84" s="3" t="s">
        <v>7</v>
      </c>
      <c r="V84" s="3" t="s">
        <v>7</v>
      </c>
      <c r="W84" s="3" t="s">
        <v>7</v>
      </c>
      <c r="X84" s="3" t="s">
        <v>7</v>
      </c>
      <c r="Y84" s="3" t="b">
        <v>0</v>
      </c>
      <c r="Z84" s="3" t="b">
        <v>0</v>
      </c>
      <c r="AA84" s="34" t="s">
        <v>8</v>
      </c>
      <c r="AB84" s="3" t="b">
        <v>0</v>
      </c>
      <c r="AC84" s="34" t="s">
        <v>70</v>
      </c>
      <c r="AD84" s="3">
        <v>0</v>
      </c>
      <c r="AE84" s="3" t="b">
        <v>0</v>
      </c>
      <c r="AF84" s="3"/>
      <c r="AG84" s="3" t="s">
        <v>69</v>
      </c>
      <c r="AH84" s="3"/>
      <c r="AI84" s="3"/>
      <c r="AJ84" s="3" t="s">
        <v>16</v>
      </c>
      <c r="AK84" s="3"/>
      <c r="AL84" s="3"/>
      <c r="AM84" s="3"/>
      <c r="AN84" s="3"/>
      <c r="AO84" s="3"/>
      <c r="AP84" s="3" t="s">
        <v>11</v>
      </c>
      <c r="AQ84" s="3" t="s">
        <v>17</v>
      </c>
      <c r="AR84" s="3"/>
      <c r="AS84" s="3">
        <v>17359079</v>
      </c>
      <c r="AT84" s="3">
        <v>259478687</v>
      </c>
      <c r="AU84" s="3" t="s">
        <v>13</v>
      </c>
      <c r="AV84" s="3" t="b">
        <v>1</v>
      </c>
      <c r="AW84" s="34" t="s">
        <v>72</v>
      </c>
      <c r="AX84" s="34">
        <v>42205.273611111108</v>
      </c>
      <c r="AY84" s="34" t="s">
        <v>72</v>
      </c>
      <c r="AZ84" s="34">
        <v>42205.273611111108</v>
      </c>
      <c r="BB84" s="9" t="str">
        <f t="shared" si="4"/>
        <v>No</v>
      </c>
      <c r="BC84" s="9" t="str">
        <f>IF(EFB!$N84=Table1[[#This Row],[ProgramTitle]],"Yes","No")</f>
        <v>Yes</v>
      </c>
      <c r="BD84" s="9" t="str">
        <f>IF(EFB!$S84=Table1[[#This Row],[SeriesEpisodeTitle]],"Yes","No")</f>
        <v>Yes</v>
      </c>
      <c r="BE84" s="11">
        <f t="shared" si="6"/>
        <v>4.1666666666666664E-2</v>
      </c>
      <c r="BF84" s="11">
        <f t="shared" si="7"/>
        <v>0</v>
      </c>
      <c r="BH84" s="21">
        <f>Table1[[#This Row],[StartTime]]+$BG$2</f>
        <v>4.1666666666666664E-2</v>
      </c>
    </row>
    <row r="85" spans="1:60" x14ac:dyDescent="0.25">
      <c r="A85" s="16"/>
      <c r="B85" s="2"/>
      <c r="C85" s="17">
        <f t="shared" si="5"/>
        <v>4.1666666666666664E-2</v>
      </c>
      <c r="D85" s="16"/>
      <c r="E85" s="16"/>
      <c r="G85" s="1"/>
      <c r="H85" s="1"/>
      <c r="I85" s="1"/>
      <c r="J85" s="1"/>
      <c r="K85" s="33"/>
      <c r="L85" s="22"/>
      <c r="M85" s="22"/>
      <c r="N85" s="1"/>
      <c r="O85" s="1"/>
      <c r="P85" s="1"/>
      <c r="Q85" s="1"/>
      <c r="R85" s="1"/>
      <c r="S85" s="1"/>
      <c r="T85" s="3"/>
      <c r="U85" s="3" t="s">
        <v>7</v>
      </c>
      <c r="V85" s="3" t="s">
        <v>7</v>
      </c>
      <c r="W85" s="3" t="s">
        <v>7</v>
      </c>
      <c r="X85" s="3" t="s">
        <v>7</v>
      </c>
      <c r="Y85" s="3" t="b">
        <v>0</v>
      </c>
      <c r="Z85" s="3" t="b">
        <v>0</v>
      </c>
      <c r="AA85" s="34" t="s">
        <v>8</v>
      </c>
      <c r="AB85" s="3" t="b">
        <v>0</v>
      </c>
      <c r="AC85" s="34"/>
      <c r="AD85" s="3">
        <v>0</v>
      </c>
      <c r="AE85" s="3" t="b">
        <v>0</v>
      </c>
      <c r="AF85" s="3"/>
      <c r="AG85" s="3"/>
      <c r="AH85" s="3"/>
      <c r="AI85" s="3"/>
      <c r="AJ85" s="3" t="s">
        <v>10</v>
      </c>
      <c r="AK85" s="3"/>
      <c r="AL85" s="3"/>
      <c r="AM85" s="3"/>
      <c r="AN85" s="3"/>
      <c r="AO85" s="3"/>
      <c r="AP85" s="3" t="s">
        <v>11</v>
      </c>
      <c r="AQ85" s="3" t="s">
        <v>17</v>
      </c>
      <c r="AR85" s="3"/>
      <c r="AS85" s="3">
        <v>18126380</v>
      </c>
      <c r="AT85" s="3">
        <v>259478739</v>
      </c>
      <c r="AU85" s="3" t="s">
        <v>13</v>
      </c>
      <c r="AV85" s="3" t="b">
        <v>1</v>
      </c>
      <c r="AW85" s="34" t="s">
        <v>72</v>
      </c>
      <c r="AX85" s="34">
        <v>42205.273611111108</v>
      </c>
      <c r="AY85" s="34" t="s">
        <v>72</v>
      </c>
      <c r="AZ85" s="34">
        <v>42205.273611111108</v>
      </c>
      <c r="BB85" s="9" t="str">
        <f t="shared" si="4"/>
        <v>No</v>
      </c>
      <c r="BC85" s="9" t="str">
        <f>IF(EFB!$N85=Table1[[#This Row],[ProgramTitle]],"Yes","No")</f>
        <v>Yes</v>
      </c>
      <c r="BD85" s="9" t="str">
        <f>IF(EFB!$S85=Table1[[#This Row],[SeriesEpisodeTitle]],"Yes","No")</f>
        <v>Yes</v>
      </c>
      <c r="BE85" s="11">
        <f t="shared" si="6"/>
        <v>4.1666666666666664E-2</v>
      </c>
      <c r="BF85" s="11">
        <f t="shared" si="7"/>
        <v>0</v>
      </c>
      <c r="BH85" s="21">
        <f>Table1[[#This Row],[StartTime]]+$BG$2</f>
        <v>4.1666666666666664E-2</v>
      </c>
    </row>
    <row r="86" spans="1:60" x14ac:dyDescent="0.25">
      <c r="A86" s="16"/>
      <c r="B86" s="2"/>
      <c r="C86" s="17">
        <f t="shared" si="5"/>
        <v>4.1666666666666664E-2</v>
      </c>
      <c r="D86" s="16"/>
      <c r="E86" s="16"/>
      <c r="G86" s="1"/>
      <c r="H86" s="1"/>
      <c r="I86" s="1"/>
      <c r="J86" s="1"/>
      <c r="K86" s="33"/>
      <c r="L86" s="22"/>
      <c r="M86" s="22"/>
      <c r="N86" s="1"/>
      <c r="O86" s="1"/>
      <c r="P86" s="1"/>
      <c r="Q86" s="1"/>
      <c r="R86" s="1"/>
      <c r="S86" s="1"/>
      <c r="T86" s="3"/>
      <c r="U86" s="3" t="s">
        <v>7</v>
      </c>
      <c r="V86" s="3" t="s">
        <v>7</v>
      </c>
      <c r="W86" s="3" t="s">
        <v>7</v>
      </c>
      <c r="X86" s="3" t="s">
        <v>7</v>
      </c>
      <c r="Y86" s="3" t="b">
        <v>0</v>
      </c>
      <c r="Z86" s="3" t="b">
        <v>0</v>
      </c>
      <c r="AA86" s="3" t="s">
        <v>8</v>
      </c>
      <c r="AB86" s="3" t="b">
        <v>0</v>
      </c>
      <c r="AC86" s="3" t="s">
        <v>74</v>
      </c>
      <c r="AD86" s="3">
        <v>0</v>
      </c>
      <c r="AE86" s="3" t="b">
        <v>0</v>
      </c>
      <c r="AF86" s="3"/>
      <c r="AG86" s="3"/>
      <c r="AH86" s="3"/>
      <c r="AI86" s="3"/>
      <c r="AJ86" s="3" t="s">
        <v>16</v>
      </c>
      <c r="AK86" s="3"/>
      <c r="AL86" s="3"/>
      <c r="AM86" s="3"/>
      <c r="AN86" s="3"/>
      <c r="AO86" s="3"/>
      <c r="AP86" s="3" t="s">
        <v>11</v>
      </c>
      <c r="AQ86" s="3" t="s">
        <v>17</v>
      </c>
      <c r="AR86" s="3"/>
      <c r="AS86" s="3">
        <v>27580017</v>
      </c>
      <c r="AT86" s="3">
        <v>259702265</v>
      </c>
      <c r="AU86" s="3" t="s">
        <v>13</v>
      </c>
      <c r="AV86" s="3" t="b">
        <v>1</v>
      </c>
      <c r="AW86" s="34" t="s">
        <v>72</v>
      </c>
      <c r="AX86" s="34">
        <v>42205.273611111108</v>
      </c>
      <c r="AY86" s="34" t="s">
        <v>72</v>
      </c>
      <c r="AZ86" s="34">
        <v>42205.273611111108</v>
      </c>
      <c r="BB86" s="9" t="str">
        <f t="shared" si="4"/>
        <v>No</v>
      </c>
      <c r="BC86" s="9" t="str">
        <f>IF(EFB!$N86=Table1[[#This Row],[ProgramTitle]],"Yes","No")</f>
        <v>Yes</v>
      </c>
      <c r="BD86" s="9" t="str">
        <f>IF(EFB!$S86=Table1[[#This Row],[SeriesEpisodeTitle]],"Yes","No")</f>
        <v>Yes</v>
      </c>
      <c r="BE86" s="11">
        <f t="shared" si="6"/>
        <v>4.1666666666666664E-2</v>
      </c>
      <c r="BF86" s="11">
        <f t="shared" si="7"/>
        <v>0</v>
      </c>
      <c r="BH86" s="21">
        <f>Table1[[#This Row],[StartTime]]+$BG$2</f>
        <v>4.1666666666666664E-2</v>
      </c>
    </row>
    <row r="87" spans="1:60" x14ac:dyDescent="0.25">
      <c r="A87" s="16"/>
      <c r="B87" s="2"/>
      <c r="C87" s="17">
        <f t="shared" si="5"/>
        <v>4.1666666666666664E-2</v>
      </c>
      <c r="D87" s="16"/>
      <c r="E87" s="16"/>
      <c r="G87" s="1"/>
      <c r="H87" s="1"/>
      <c r="I87" s="1"/>
      <c r="J87" s="1"/>
      <c r="K87" s="33"/>
      <c r="L87" s="22"/>
      <c r="M87" s="22"/>
      <c r="N87" s="1"/>
      <c r="O87" s="1"/>
      <c r="P87" s="1"/>
      <c r="Q87" s="1"/>
      <c r="R87" s="1"/>
      <c r="S87" s="1"/>
      <c r="T87" s="3"/>
      <c r="U87" s="3" t="s">
        <v>7</v>
      </c>
      <c r="V87" s="3" t="s">
        <v>7</v>
      </c>
      <c r="W87" s="3" t="s">
        <v>7</v>
      </c>
      <c r="X87" s="3" t="s">
        <v>7</v>
      </c>
      <c r="Y87" s="3" t="b">
        <v>0</v>
      </c>
      <c r="Z87" s="3" t="b">
        <v>0</v>
      </c>
      <c r="AA87" s="3" t="s">
        <v>8</v>
      </c>
      <c r="AB87" s="3" t="b">
        <v>0</v>
      </c>
      <c r="AC87" s="3" t="s">
        <v>15</v>
      </c>
      <c r="AD87" s="3">
        <v>0</v>
      </c>
      <c r="AE87" s="3" t="b">
        <v>0</v>
      </c>
      <c r="AF87" s="3"/>
      <c r="AG87" s="3"/>
      <c r="AH87" s="3"/>
      <c r="AI87" s="3"/>
      <c r="AJ87" s="3" t="s">
        <v>10</v>
      </c>
      <c r="AK87" s="3"/>
      <c r="AL87" s="3"/>
      <c r="AM87" s="3"/>
      <c r="AN87" s="3"/>
      <c r="AO87" s="3"/>
      <c r="AP87" s="3" t="s">
        <v>11</v>
      </c>
      <c r="AQ87" s="3" t="s">
        <v>17</v>
      </c>
      <c r="AR87" s="3"/>
      <c r="AS87" s="3">
        <v>15329153</v>
      </c>
      <c r="AT87" s="3">
        <v>259478642</v>
      </c>
      <c r="AU87" s="3" t="s">
        <v>13</v>
      </c>
      <c r="AV87" s="3" t="b">
        <v>1</v>
      </c>
      <c r="AW87" s="34" t="s">
        <v>72</v>
      </c>
      <c r="AX87" s="34">
        <v>42205.273611111108</v>
      </c>
      <c r="AY87" s="34" t="s">
        <v>72</v>
      </c>
      <c r="AZ87" s="34">
        <v>42205.273611111108</v>
      </c>
      <c r="BB87" s="9" t="str">
        <f t="shared" si="4"/>
        <v>No</v>
      </c>
      <c r="BC87" s="9" t="str">
        <f>IF(EFB!$N87=Table1[[#This Row],[ProgramTitle]],"Yes","No")</f>
        <v>Yes</v>
      </c>
      <c r="BD87" s="9" t="str">
        <f>IF(EFB!$S87=Table1[[#This Row],[SeriesEpisodeTitle]],"Yes","No")</f>
        <v>Yes</v>
      </c>
      <c r="BE87" s="11">
        <f t="shared" si="6"/>
        <v>4.1666666666666664E-2</v>
      </c>
      <c r="BF87" s="11">
        <f t="shared" si="7"/>
        <v>0</v>
      </c>
      <c r="BH87" s="21">
        <f>Table1[[#This Row],[StartTime]]+$BG$2</f>
        <v>4.1666666666666664E-2</v>
      </c>
    </row>
    <row r="88" spans="1:60" x14ac:dyDescent="0.25">
      <c r="A88" s="16"/>
      <c r="B88" s="2"/>
      <c r="C88" s="17">
        <f t="shared" si="5"/>
        <v>4.1666666666666664E-2</v>
      </c>
      <c r="D88" s="16"/>
      <c r="E88" s="16"/>
      <c r="G88" s="1"/>
      <c r="H88" s="1"/>
      <c r="I88" s="1"/>
      <c r="J88" s="1"/>
      <c r="K88" s="33"/>
      <c r="L88" s="22"/>
      <c r="M88" s="22"/>
      <c r="N88" s="1"/>
      <c r="O88" s="1"/>
      <c r="P88" s="1"/>
      <c r="Q88" s="1"/>
      <c r="R88" s="1"/>
      <c r="S88" s="1"/>
      <c r="T88" s="3"/>
      <c r="U88" s="3"/>
      <c r="V88" s="3" t="s">
        <v>7</v>
      </c>
      <c r="W88" s="3" t="s">
        <v>7</v>
      </c>
      <c r="X88" s="3" t="s">
        <v>7</v>
      </c>
      <c r="Y88" s="3" t="b">
        <v>0</v>
      </c>
      <c r="Z88" s="3" t="b">
        <v>0</v>
      </c>
      <c r="AA88" s="3" t="s">
        <v>8</v>
      </c>
      <c r="AB88" s="3" t="b">
        <v>0</v>
      </c>
      <c r="AC88" s="3" t="s">
        <v>18</v>
      </c>
      <c r="AD88" s="3">
        <v>0</v>
      </c>
      <c r="AE88" s="3" t="b">
        <v>0</v>
      </c>
      <c r="AF88" s="3"/>
      <c r="AG88" s="3"/>
      <c r="AH88" s="3"/>
      <c r="AI88" s="3"/>
      <c r="AJ88" s="3" t="s">
        <v>10</v>
      </c>
      <c r="AK88" s="3"/>
      <c r="AL88" s="3"/>
      <c r="AM88" s="3"/>
      <c r="AN88" s="3"/>
      <c r="AO88" s="3"/>
      <c r="AP88" s="3" t="s">
        <v>11</v>
      </c>
      <c r="AQ88" s="3" t="s">
        <v>17</v>
      </c>
      <c r="AR88" s="3"/>
      <c r="AS88" s="3">
        <v>15329407</v>
      </c>
      <c r="AT88" s="3">
        <v>259478644</v>
      </c>
      <c r="AU88" s="3" t="s">
        <v>13</v>
      </c>
      <c r="AV88" s="3" t="b">
        <v>1</v>
      </c>
      <c r="AW88" s="34" t="s">
        <v>72</v>
      </c>
      <c r="AX88" s="34">
        <v>42205.273611111108</v>
      </c>
      <c r="AY88" s="34" t="s">
        <v>72</v>
      </c>
      <c r="AZ88" s="34">
        <v>42205.273611111108</v>
      </c>
      <c r="BB88" s="9" t="str">
        <f t="shared" si="4"/>
        <v>No</v>
      </c>
      <c r="BC88" s="9" t="str">
        <f>IF(EFB!$N88=Table1[[#This Row],[ProgramTitle]],"Yes","No")</f>
        <v>Yes</v>
      </c>
      <c r="BD88" s="9" t="str">
        <f>IF(EFB!$S88=Table1[[#This Row],[SeriesEpisodeTitle]],"Yes","No")</f>
        <v>Yes</v>
      </c>
      <c r="BE88" s="11">
        <f t="shared" si="6"/>
        <v>4.1666666666666664E-2</v>
      </c>
      <c r="BF88" s="11">
        <f t="shared" si="7"/>
        <v>0</v>
      </c>
      <c r="BH88" s="21">
        <f>Table1[[#This Row],[StartTime]]+$BG$2</f>
        <v>4.1666666666666664E-2</v>
      </c>
    </row>
    <row r="89" spans="1:60" x14ac:dyDescent="0.25">
      <c r="A89" s="16"/>
      <c r="B89" s="2"/>
      <c r="C89" s="17">
        <f t="shared" si="5"/>
        <v>4.1666666666666664E-2</v>
      </c>
      <c r="D89" s="16"/>
      <c r="E89" s="16"/>
      <c r="G89" s="1"/>
      <c r="H89" s="1"/>
      <c r="I89" s="1"/>
      <c r="J89" s="1"/>
      <c r="K89" s="33"/>
      <c r="L89" s="22"/>
      <c r="M89" s="22"/>
      <c r="N89" s="1"/>
      <c r="O89" s="1"/>
      <c r="P89" s="1"/>
      <c r="Q89" s="1"/>
      <c r="R89" s="1"/>
      <c r="S89" s="1"/>
      <c r="T89" s="3"/>
      <c r="U89" s="3"/>
      <c r="V89" s="3" t="s">
        <v>7</v>
      </c>
      <c r="W89" s="3" t="s">
        <v>7</v>
      </c>
      <c r="X89" s="3" t="s">
        <v>7</v>
      </c>
      <c r="Y89" s="3" t="b">
        <v>0</v>
      </c>
      <c r="Z89" s="3" t="b">
        <v>0</v>
      </c>
      <c r="AA89" s="3" t="s">
        <v>8</v>
      </c>
      <c r="AB89" s="3" t="b">
        <v>0</v>
      </c>
      <c r="AC89" s="3" t="s">
        <v>15</v>
      </c>
      <c r="AD89" s="3">
        <v>0</v>
      </c>
      <c r="AE89" s="3" t="b">
        <v>0</v>
      </c>
      <c r="AF89" s="3"/>
      <c r="AG89" s="3"/>
      <c r="AH89" s="3"/>
      <c r="AI89" s="3"/>
      <c r="AJ89" s="3" t="s">
        <v>10</v>
      </c>
      <c r="AK89" s="3"/>
      <c r="AL89" s="3"/>
      <c r="AM89" s="3"/>
      <c r="AN89" s="3"/>
      <c r="AO89" s="3"/>
      <c r="AP89" s="3" t="s">
        <v>11</v>
      </c>
      <c r="AQ89" s="3" t="s">
        <v>17</v>
      </c>
      <c r="AR89" s="3"/>
      <c r="AS89" s="3">
        <v>15197712</v>
      </c>
      <c r="AT89" s="3">
        <v>259478633</v>
      </c>
      <c r="AU89" s="3" t="s">
        <v>13</v>
      </c>
      <c r="AV89" s="3" t="b">
        <v>1</v>
      </c>
      <c r="AW89" s="34" t="s">
        <v>72</v>
      </c>
      <c r="AX89" s="34">
        <v>42205.273611111108</v>
      </c>
      <c r="AY89" s="34" t="s">
        <v>72</v>
      </c>
      <c r="AZ89" s="34">
        <v>42205.273611111108</v>
      </c>
      <c r="BB89" s="9" t="str">
        <f t="shared" si="4"/>
        <v>No</v>
      </c>
      <c r="BC89" s="9" t="str">
        <f>IF(EFB!$N89=Table1[[#This Row],[ProgramTitle]],"Yes","No")</f>
        <v>Yes</v>
      </c>
      <c r="BD89" s="9" t="str">
        <f>IF(EFB!$S89=Table1[[#This Row],[SeriesEpisodeTitle]],"Yes","No")</f>
        <v>Yes</v>
      </c>
      <c r="BE89" s="11">
        <f t="shared" si="6"/>
        <v>4.1666666666666664E-2</v>
      </c>
      <c r="BF89" s="11">
        <f t="shared" si="7"/>
        <v>0</v>
      </c>
      <c r="BH89" s="21">
        <f>Table1[[#This Row],[StartTime]]+$BG$2</f>
        <v>4.1666666666666664E-2</v>
      </c>
    </row>
    <row r="90" spans="1:60" x14ac:dyDescent="0.25">
      <c r="A90" s="16"/>
      <c r="B90" s="2"/>
      <c r="C90" s="17">
        <f t="shared" si="5"/>
        <v>4.1666666666666664E-2</v>
      </c>
      <c r="D90" s="16"/>
      <c r="E90" s="16"/>
      <c r="G90" s="1"/>
      <c r="H90" s="1"/>
      <c r="I90" s="1"/>
      <c r="J90" s="1"/>
      <c r="K90" s="33"/>
      <c r="L90" s="22"/>
      <c r="M90" s="1"/>
      <c r="N90" s="1"/>
      <c r="O90" s="1"/>
      <c r="P90" s="1"/>
      <c r="Q90" s="1"/>
      <c r="R90" s="1"/>
      <c r="S90" s="1"/>
      <c r="T90" s="3"/>
      <c r="U90" s="3"/>
      <c r="V90" s="3" t="s">
        <v>7</v>
      </c>
      <c r="W90" s="3" t="s">
        <v>7</v>
      </c>
      <c r="X90" s="3" t="s">
        <v>7</v>
      </c>
      <c r="Y90" s="3" t="b">
        <v>0</v>
      </c>
      <c r="Z90" s="3" t="b">
        <v>0</v>
      </c>
      <c r="AA90" s="3" t="s">
        <v>8</v>
      </c>
      <c r="AB90" s="3" t="b">
        <v>0</v>
      </c>
      <c r="AC90" s="3" t="s">
        <v>18</v>
      </c>
      <c r="AD90" s="3">
        <v>0</v>
      </c>
      <c r="AE90" s="3" t="b">
        <v>0</v>
      </c>
      <c r="AF90" s="3"/>
      <c r="AG90" s="3"/>
      <c r="AH90" s="3"/>
      <c r="AI90" s="3"/>
      <c r="AJ90" s="3" t="s">
        <v>10</v>
      </c>
      <c r="AK90" s="3"/>
      <c r="AL90" s="3"/>
      <c r="AM90" s="3"/>
      <c r="AN90" s="3"/>
      <c r="AO90" s="3"/>
      <c r="AP90" s="3" t="s">
        <v>11</v>
      </c>
      <c r="AQ90" s="3" t="s">
        <v>17</v>
      </c>
      <c r="AR90" s="3"/>
      <c r="AS90" s="3">
        <v>15187590</v>
      </c>
      <c r="AT90" s="3">
        <v>259478630</v>
      </c>
      <c r="AU90" s="3" t="s">
        <v>13</v>
      </c>
      <c r="AV90" s="3" t="b">
        <v>1</v>
      </c>
      <c r="AW90" s="34" t="s">
        <v>72</v>
      </c>
      <c r="AX90" s="34">
        <v>42205.273611111108</v>
      </c>
      <c r="AY90" s="34" t="s">
        <v>72</v>
      </c>
      <c r="AZ90" s="34">
        <v>42205.273611111108</v>
      </c>
      <c r="BB90" s="9" t="str">
        <f t="shared" si="4"/>
        <v>No</v>
      </c>
      <c r="BC90" s="9" t="str">
        <f>IF(EFB!$N90=Table1[[#This Row],[ProgramTitle]],"Yes","No")</f>
        <v>Yes</v>
      </c>
      <c r="BD90" s="9" t="str">
        <f>IF(EFB!$S90=Table1[[#This Row],[SeriesEpisodeTitle]],"Yes","No")</f>
        <v>Yes</v>
      </c>
      <c r="BE90" s="11">
        <f t="shared" si="6"/>
        <v>4.1666666666666664E-2</v>
      </c>
      <c r="BF90" s="11">
        <f t="shared" si="7"/>
        <v>0</v>
      </c>
      <c r="BH90" s="21">
        <f>Table1[[#This Row],[StartTime]]+$BG$2</f>
        <v>4.1666666666666664E-2</v>
      </c>
    </row>
    <row r="91" spans="1:60" x14ac:dyDescent="0.25">
      <c r="A91" s="16"/>
      <c r="B91" s="2"/>
      <c r="C91" s="17">
        <f t="shared" si="5"/>
        <v>4.1666666666666664E-2</v>
      </c>
      <c r="D91" s="16"/>
      <c r="E91" s="16"/>
      <c r="G91" s="1"/>
      <c r="H91" s="1"/>
      <c r="I91" s="1"/>
      <c r="J91" s="1"/>
      <c r="K91" s="33"/>
      <c r="L91" s="22"/>
      <c r="M91" s="1"/>
      <c r="N91" s="1"/>
      <c r="O91" s="1"/>
      <c r="P91" s="1"/>
      <c r="Q91" s="1"/>
      <c r="R91" s="1"/>
      <c r="S91" s="1"/>
      <c r="T91" s="3"/>
      <c r="U91" s="3" t="s">
        <v>7</v>
      </c>
      <c r="V91" s="3" t="s">
        <v>7</v>
      </c>
      <c r="W91" s="3" t="s">
        <v>7</v>
      </c>
      <c r="X91" s="3" t="s">
        <v>7</v>
      </c>
      <c r="Y91" s="3" t="b">
        <v>0</v>
      </c>
      <c r="Z91" s="3" t="b">
        <v>0</v>
      </c>
      <c r="AA91" s="3" t="s">
        <v>8</v>
      </c>
      <c r="AB91" s="3" t="b">
        <v>0</v>
      </c>
      <c r="AC91" s="3"/>
      <c r="AD91" s="3">
        <v>0</v>
      </c>
      <c r="AE91" s="3" t="b">
        <v>0</v>
      </c>
      <c r="AF91" s="3"/>
      <c r="AG91" s="3"/>
      <c r="AH91" s="3"/>
      <c r="AI91" s="3"/>
      <c r="AJ91" s="3" t="s">
        <v>16</v>
      </c>
      <c r="AK91" s="3"/>
      <c r="AL91" s="3"/>
      <c r="AM91" s="3"/>
      <c r="AN91" s="3"/>
      <c r="AO91" s="3"/>
      <c r="AP91" s="3" t="s">
        <v>11</v>
      </c>
      <c r="AQ91" s="3" t="s">
        <v>17</v>
      </c>
      <c r="AR91" s="3"/>
      <c r="AS91" s="3">
        <v>27580047</v>
      </c>
      <c r="AT91" s="3">
        <v>259478868</v>
      </c>
      <c r="AU91" s="3" t="s">
        <v>13</v>
      </c>
      <c r="AV91" s="3" t="b">
        <v>1</v>
      </c>
      <c r="AW91" s="34" t="s">
        <v>72</v>
      </c>
      <c r="AX91" s="34">
        <v>42205.273611111108</v>
      </c>
      <c r="AY91" s="34" t="s">
        <v>72</v>
      </c>
      <c r="AZ91" s="34">
        <v>42205.273611111108</v>
      </c>
      <c r="BB91" s="9" t="str">
        <f t="shared" si="4"/>
        <v>No</v>
      </c>
      <c r="BC91" s="9" t="str">
        <f>IF(EFB!$N91=Table1[[#This Row],[ProgramTitle]],"Yes","No")</f>
        <v>Yes</v>
      </c>
      <c r="BD91" s="9" t="str">
        <f>IF(EFB!$S91=Table1[[#This Row],[SeriesEpisodeTitle]],"Yes","No")</f>
        <v>Yes</v>
      </c>
      <c r="BE91" s="11">
        <f t="shared" si="6"/>
        <v>4.1666666666666664E-2</v>
      </c>
      <c r="BF91" s="11">
        <f t="shared" si="7"/>
        <v>0</v>
      </c>
      <c r="BH91" s="21">
        <f>Table1[[#This Row],[StartTime]]+$BG$2</f>
        <v>4.1666666666666664E-2</v>
      </c>
    </row>
    <row r="92" spans="1:60" x14ac:dyDescent="0.25">
      <c r="A92" s="16"/>
      <c r="B92" s="2"/>
      <c r="C92" s="17">
        <f t="shared" si="5"/>
        <v>4.1666666666666664E-2</v>
      </c>
      <c r="D92" s="16"/>
      <c r="E92" s="16"/>
      <c r="G92" s="1"/>
      <c r="H92" s="1"/>
      <c r="I92" s="1"/>
      <c r="J92" s="1"/>
      <c r="K92" s="33"/>
      <c r="L92" s="22"/>
      <c r="M92" s="1"/>
      <c r="N92" s="1"/>
      <c r="O92" s="1"/>
      <c r="P92" s="1"/>
      <c r="Q92" s="1"/>
      <c r="R92" s="1"/>
      <c r="S92" s="1"/>
      <c r="T92" s="3"/>
      <c r="U92" s="3" t="s">
        <v>7</v>
      </c>
      <c r="V92" s="3" t="s">
        <v>7</v>
      </c>
      <c r="W92" s="3" t="s">
        <v>7</v>
      </c>
      <c r="X92" s="3" t="s">
        <v>7</v>
      </c>
      <c r="Y92" s="3" t="b">
        <v>0</v>
      </c>
      <c r="Z92" s="3" t="b">
        <v>0</v>
      </c>
      <c r="AA92" s="3" t="s">
        <v>8</v>
      </c>
      <c r="AB92" s="3" t="b">
        <v>0</v>
      </c>
      <c r="AC92" s="3"/>
      <c r="AD92" s="3">
        <v>0</v>
      </c>
      <c r="AE92" s="3" t="b">
        <v>0</v>
      </c>
      <c r="AF92" s="3"/>
      <c r="AG92" s="3"/>
      <c r="AH92" s="3"/>
      <c r="AI92" s="3"/>
      <c r="AJ92" s="3" t="s">
        <v>16</v>
      </c>
      <c r="AK92" s="3"/>
      <c r="AL92" s="3"/>
      <c r="AM92" s="3"/>
      <c r="AN92" s="3"/>
      <c r="AO92" s="3"/>
      <c r="AP92" s="3" t="s">
        <v>11</v>
      </c>
      <c r="AQ92" s="3" t="s">
        <v>12</v>
      </c>
      <c r="AR92" s="3"/>
      <c r="AS92" s="3">
        <v>27580046</v>
      </c>
      <c r="AT92" s="3">
        <v>259478867</v>
      </c>
      <c r="AU92" s="3" t="s">
        <v>13</v>
      </c>
      <c r="AV92" s="3" t="b">
        <v>1</v>
      </c>
      <c r="AW92" s="34" t="s">
        <v>72</v>
      </c>
      <c r="AX92" s="34">
        <v>42205.273611111108</v>
      </c>
      <c r="AY92" s="34" t="s">
        <v>72</v>
      </c>
      <c r="AZ92" s="34">
        <v>42205.273611111108</v>
      </c>
      <c r="BB92" s="9" t="str">
        <f t="shared" si="4"/>
        <v>No</v>
      </c>
      <c r="BC92" s="9" t="str">
        <f>IF(EFB!$N92=Table1[[#This Row],[ProgramTitle]],"Yes","No")</f>
        <v>Yes</v>
      </c>
      <c r="BD92" s="9" t="str">
        <f>IF(EFB!$S92=Table1[[#This Row],[SeriesEpisodeTitle]],"Yes","No")</f>
        <v>Yes</v>
      </c>
      <c r="BE92" s="11">
        <f t="shared" si="6"/>
        <v>4.1666666666666664E-2</v>
      </c>
      <c r="BF92" s="11">
        <f t="shared" si="7"/>
        <v>0</v>
      </c>
      <c r="BH92" s="21">
        <f>Table1[[#This Row],[StartTime]]+$BG$2</f>
        <v>4.1666666666666664E-2</v>
      </c>
    </row>
    <row r="93" spans="1:60" x14ac:dyDescent="0.25">
      <c r="A93" s="16"/>
      <c r="B93" s="2"/>
      <c r="C93" s="17">
        <f t="shared" si="5"/>
        <v>4.1666666666666664E-2</v>
      </c>
      <c r="D93" s="16"/>
      <c r="E93" s="16"/>
      <c r="G93" s="1"/>
      <c r="H93" s="1"/>
      <c r="I93" s="1"/>
      <c r="J93" s="1"/>
      <c r="K93" s="33"/>
      <c r="L93" s="22"/>
      <c r="M93" s="1"/>
      <c r="N93" s="1"/>
      <c r="O93" s="1"/>
      <c r="P93" s="1"/>
      <c r="Q93" s="1"/>
      <c r="R93" s="1"/>
      <c r="S93" s="1"/>
      <c r="T93" s="3"/>
      <c r="U93" s="3" t="s">
        <v>7</v>
      </c>
      <c r="V93" s="3" t="s">
        <v>7</v>
      </c>
      <c r="W93" s="3" t="s">
        <v>7</v>
      </c>
      <c r="X93" s="3" t="s">
        <v>7</v>
      </c>
      <c r="Y93" s="3" t="b">
        <v>0</v>
      </c>
      <c r="Z93" s="3" t="b">
        <v>0</v>
      </c>
      <c r="AA93" s="3" t="s">
        <v>8</v>
      </c>
      <c r="AB93" s="3" t="b">
        <v>0</v>
      </c>
      <c r="AC93" s="3" t="s">
        <v>18</v>
      </c>
      <c r="AD93" s="3">
        <v>0</v>
      </c>
      <c r="AE93" s="3" t="b">
        <v>0</v>
      </c>
      <c r="AF93" s="3"/>
      <c r="AG93" s="3"/>
      <c r="AH93" s="3"/>
      <c r="AI93" s="3"/>
      <c r="AJ93" s="3" t="s">
        <v>16</v>
      </c>
      <c r="AK93" s="3"/>
      <c r="AL93" s="3"/>
      <c r="AM93" s="3"/>
      <c r="AN93" s="3"/>
      <c r="AO93" s="3"/>
      <c r="AP93" s="3" t="s">
        <v>11</v>
      </c>
      <c r="AQ93" s="3" t="s">
        <v>17</v>
      </c>
      <c r="AR93" s="3"/>
      <c r="AS93" s="3">
        <v>19394025</v>
      </c>
      <c r="AT93" s="3">
        <v>259478741</v>
      </c>
      <c r="AU93" s="3" t="s">
        <v>13</v>
      </c>
      <c r="AV93" s="3" t="b">
        <v>1</v>
      </c>
      <c r="AW93" s="3" t="s">
        <v>72</v>
      </c>
      <c r="AX93" s="34">
        <v>42205.273611111108</v>
      </c>
      <c r="AY93" s="3" t="s">
        <v>72</v>
      </c>
      <c r="AZ93" s="34">
        <v>42205.273611111108</v>
      </c>
      <c r="BB93" s="9" t="str">
        <f t="shared" si="4"/>
        <v>No</v>
      </c>
      <c r="BC93" s="9" t="str">
        <f>IF(EFB!$N93=Table1[[#This Row],[ProgramTitle]],"Yes","No")</f>
        <v>Yes</v>
      </c>
      <c r="BD93" s="9" t="str">
        <f>IF(EFB!$S93=Table1[[#This Row],[SeriesEpisodeTitle]],"Yes","No")</f>
        <v>Yes</v>
      </c>
      <c r="BE93" s="11">
        <f t="shared" si="6"/>
        <v>4.1666666666666664E-2</v>
      </c>
      <c r="BF93" s="11">
        <f t="shared" si="7"/>
        <v>0</v>
      </c>
      <c r="BH93" s="21">
        <f>Table1[[#This Row],[StartTime]]+$BG$2</f>
        <v>4.1666666666666664E-2</v>
      </c>
    </row>
    <row r="94" spans="1:60" x14ac:dyDescent="0.25">
      <c r="A94" s="16"/>
      <c r="B94" s="2"/>
      <c r="C94" s="17">
        <f t="shared" si="5"/>
        <v>4.1666666666666664E-2</v>
      </c>
      <c r="D94" s="16"/>
      <c r="E94" s="16"/>
      <c r="G94" s="1"/>
      <c r="H94" s="1"/>
      <c r="I94" s="1"/>
      <c r="J94" s="1"/>
      <c r="K94" s="33"/>
      <c r="L94" s="22"/>
      <c r="M94" s="1"/>
      <c r="N94" s="1"/>
      <c r="O94" s="1"/>
      <c r="P94" s="1"/>
      <c r="Q94" s="1"/>
      <c r="R94" s="1"/>
      <c r="S94" s="1"/>
      <c r="T94" s="3"/>
      <c r="U94" s="3"/>
      <c r="V94" s="3" t="s">
        <v>7</v>
      </c>
      <c r="W94" s="3" t="s">
        <v>7</v>
      </c>
      <c r="X94" s="3" t="s">
        <v>7</v>
      </c>
      <c r="Y94" s="3" t="b">
        <v>0</v>
      </c>
      <c r="Z94" s="3" t="b">
        <v>0</v>
      </c>
      <c r="AA94" s="3" t="s">
        <v>8</v>
      </c>
      <c r="AB94" s="3" t="b">
        <v>0</v>
      </c>
      <c r="AC94" s="3" t="s">
        <v>15</v>
      </c>
      <c r="AD94" s="3">
        <v>0</v>
      </c>
      <c r="AE94" s="3" t="b">
        <v>0</v>
      </c>
      <c r="AF94" s="3"/>
      <c r="AG94" s="3"/>
      <c r="AH94" s="3"/>
      <c r="AI94" s="3"/>
      <c r="AJ94" s="3" t="s">
        <v>10</v>
      </c>
      <c r="AK94" s="3"/>
      <c r="AL94" s="3"/>
      <c r="AM94" s="3"/>
      <c r="AN94" s="3"/>
      <c r="AO94" s="3"/>
      <c r="AP94" s="3" t="s">
        <v>11</v>
      </c>
      <c r="AQ94" s="3" t="s">
        <v>17</v>
      </c>
      <c r="AR94" s="3"/>
      <c r="AS94" s="3">
        <v>15604040</v>
      </c>
      <c r="AT94" s="3">
        <v>259478655</v>
      </c>
      <c r="AU94" s="3" t="s">
        <v>13</v>
      </c>
      <c r="AV94" s="3" t="b">
        <v>1</v>
      </c>
      <c r="AW94" s="3" t="s">
        <v>72</v>
      </c>
      <c r="AX94" s="34">
        <v>42205.273611111108</v>
      </c>
      <c r="AY94" s="3" t="s">
        <v>72</v>
      </c>
      <c r="AZ94" s="34">
        <v>42205.273611111108</v>
      </c>
      <c r="BB94" s="9" t="str">
        <f t="shared" ref="BB94:BB110" si="8">IF(BE94=BF94,"Yes","No")</f>
        <v>No</v>
      </c>
      <c r="BC94" s="9" t="str">
        <f>IF(EFB!$N94=Table1[[#This Row],[ProgramTitle]],"Yes","No")</f>
        <v>Yes</v>
      </c>
      <c r="BD94" s="9" t="str">
        <f>IF(EFB!$S94=Table1[[#This Row],[SeriesEpisodeTitle]],"Yes","No")</f>
        <v>Yes</v>
      </c>
      <c r="BE94" s="11">
        <f t="shared" si="6"/>
        <v>4.1666666666666664E-2</v>
      </c>
      <c r="BF94" s="11">
        <f t="shared" si="7"/>
        <v>0</v>
      </c>
      <c r="BH94" s="21">
        <f>Table1[[#This Row],[StartTime]]+$BG$2</f>
        <v>4.1666666666666664E-2</v>
      </c>
    </row>
    <row r="95" spans="1:60" x14ac:dyDescent="0.25">
      <c r="A95" s="16"/>
      <c r="B95" s="2"/>
      <c r="C95" s="17">
        <f t="shared" si="5"/>
        <v>4.1666666666666664E-2</v>
      </c>
      <c r="D95" s="16"/>
      <c r="E95" s="16"/>
      <c r="G95" s="1"/>
      <c r="H95" s="1"/>
      <c r="I95" s="1"/>
      <c r="J95" s="1"/>
      <c r="K95" s="33"/>
      <c r="L95" s="22"/>
      <c r="M95" s="1"/>
      <c r="N95" s="1"/>
      <c r="O95" s="1"/>
      <c r="P95" s="1"/>
      <c r="Q95" s="1"/>
      <c r="R95" s="1"/>
      <c r="S95" s="1"/>
      <c r="T95" s="3"/>
      <c r="U95" s="3"/>
      <c r="V95" s="3" t="s">
        <v>7</v>
      </c>
      <c r="W95" s="3" t="s">
        <v>7</v>
      </c>
      <c r="X95" s="3" t="s">
        <v>7</v>
      </c>
      <c r="Y95" s="3" t="b">
        <v>0</v>
      </c>
      <c r="Z95" s="3" t="b">
        <v>0</v>
      </c>
      <c r="AA95" s="3" t="s">
        <v>8</v>
      </c>
      <c r="AB95" s="3" t="b">
        <v>0</v>
      </c>
      <c r="AC95" s="3" t="s">
        <v>18</v>
      </c>
      <c r="AD95" s="3">
        <v>0</v>
      </c>
      <c r="AE95" s="3" t="b">
        <v>0</v>
      </c>
      <c r="AF95" s="3"/>
      <c r="AG95" s="3"/>
      <c r="AH95" s="3"/>
      <c r="AI95" s="3"/>
      <c r="AJ95" s="3" t="s">
        <v>10</v>
      </c>
      <c r="AK95" s="3"/>
      <c r="AL95" s="3"/>
      <c r="AM95" s="3"/>
      <c r="AN95" s="3"/>
      <c r="AO95" s="3"/>
      <c r="AP95" s="3" t="s">
        <v>11</v>
      </c>
      <c r="AQ95" s="3" t="s">
        <v>17</v>
      </c>
      <c r="AR95" s="3"/>
      <c r="AS95" s="3">
        <v>15475321</v>
      </c>
      <c r="AT95" s="3">
        <v>259478654</v>
      </c>
      <c r="AU95" s="3" t="s">
        <v>13</v>
      </c>
      <c r="AV95" s="3" t="b">
        <v>1</v>
      </c>
      <c r="AW95" s="3" t="s">
        <v>72</v>
      </c>
      <c r="AX95" s="34">
        <v>42205.273611111108</v>
      </c>
      <c r="AY95" s="3" t="s">
        <v>72</v>
      </c>
      <c r="AZ95" s="34">
        <v>42205.273611111108</v>
      </c>
      <c r="BB95" s="9" t="str">
        <f t="shared" si="8"/>
        <v>No</v>
      </c>
      <c r="BC95" s="9" t="str">
        <f>IF(EFB!$N95=Table1[[#This Row],[ProgramTitle]],"Yes","No")</f>
        <v>Yes</v>
      </c>
      <c r="BD95" s="9" t="str">
        <f>IF(EFB!$S95=Table1[[#This Row],[SeriesEpisodeTitle]],"Yes","No")</f>
        <v>Yes</v>
      </c>
      <c r="BE95" s="11">
        <f t="shared" si="6"/>
        <v>4.1666666666666664E-2</v>
      </c>
      <c r="BF95" s="11">
        <f t="shared" si="7"/>
        <v>0</v>
      </c>
      <c r="BH95" s="21">
        <f>Table1[[#This Row],[StartTime]]+$BG$2</f>
        <v>4.1666666666666664E-2</v>
      </c>
    </row>
    <row r="96" spans="1:60" x14ac:dyDescent="0.25">
      <c r="A96" s="16"/>
      <c r="B96" s="2"/>
      <c r="C96" s="17">
        <f t="shared" si="5"/>
        <v>4.1666666666666664E-2</v>
      </c>
      <c r="D96" s="16"/>
      <c r="E96" s="16"/>
      <c r="G96" s="1"/>
      <c r="H96" s="1"/>
      <c r="I96" s="1"/>
      <c r="J96" s="1"/>
      <c r="K96" s="33"/>
      <c r="L96" s="22"/>
      <c r="M96" s="1"/>
      <c r="N96" s="1"/>
      <c r="O96" s="1"/>
      <c r="P96" s="1"/>
      <c r="Q96" s="1"/>
      <c r="R96" s="1"/>
      <c r="S96" s="1"/>
      <c r="T96" s="3"/>
      <c r="U96" s="3" t="s">
        <v>7</v>
      </c>
      <c r="V96" s="3" t="s">
        <v>7</v>
      </c>
      <c r="W96" s="3" t="s">
        <v>7</v>
      </c>
      <c r="X96" s="3" t="s">
        <v>7</v>
      </c>
      <c r="Y96" s="3" t="b">
        <v>0</v>
      </c>
      <c r="Z96" s="3" t="b">
        <v>0</v>
      </c>
      <c r="AA96" s="3" t="s">
        <v>8</v>
      </c>
      <c r="AB96" s="3" t="b">
        <v>0</v>
      </c>
      <c r="AC96" s="3" t="s">
        <v>15</v>
      </c>
      <c r="AD96" s="3">
        <v>0</v>
      </c>
      <c r="AE96" s="3" t="b">
        <v>0</v>
      </c>
      <c r="AF96" s="3"/>
      <c r="AG96" s="3"/>
      <c r="AH96" s="3"/>
      <c r="AI96" s="3"/>
      <c r="AJ96" s="3" t="s">
        <v>10</v>
      </c>
      <c r="AK96" s="3"/>
      <c r="AL96" s="3"/>
      <c r="AM96" s="3"/>
      <c r="AN96" s="3"/>
      <c r="AO96" s="3"/>
      <c r="AP96" s="3" t="s">
        <v>11</v>
      </c>
      <c r="AQ96" s="3" t="s">
        <v>17</v>
      </c>
      <c r="AR96" s="3"/>
      <c r="AS96" s="3">
        <v>15329153</v>
      </c>
      <c r="AT96" s="3">
        <v>259478643</v>
      </c>
      <c r="AU96" s="3" t="s">
        <v>13</v>
      </c>
      <c r="AV96" s="3" t="b">
        <v>1</v>
      </c>
      <c r="AW96" s="3" t="s">
        <v>72</v>
      </c>
      <c r="AX96" s="34">
        <v>42205.273611111108</v>
      </c>
      <c r="AY96" s="3" t="s">
        <v>72</v>
      </c>
      <c r="AZ96" s="34">
        <v>42205.273611111108</v>
      </c>
      <c r="BB96" s="9" t="str">
        <f t="shared" si="8"/>
        <v>No</v>
      </c>
      <c r="BC96" s="9" t="str">
        <f>IF(EFB!$N96=Table1[[#This Row],[ProgramTitle]],"Yes","No")</f>
        <v>Yes</v>
      </c>
      <c r="BD96" s="9" t="str">
        <f>IF(EFB!$S96=Table1[[#This Row],[SeriesEpisodeTitle]],"Yes","No")</f>
        <v>Yes</v>
      </c>
      <c r="BE96" s="11">
        <f t="shared" si="6"/>
        <v>4.1666666666666664E-2</v>
      </c>
      <c r="BF96" s="11">
        <f t="shared" si="7"/>
        <v>0</v>
      </c>
      <c r="BH96" s="21">
        <f>Table1[[#This Row],[StartTime]]+$BG$2</f>
        <v>4.1666666666666664E-2</v>
      </c>
    </row>
    <row r="97" spans="1:60" x14ac:dyDescent="0.25">
      <c r="A97" s="16"/>
      <c r="B97" s="2"/>
      <c r="C97" s="17">
        <f t="shared" si="5"/>
        <v>4.1666666666666664E-2</v>
      </c>
      <c r="D97" s="16"/>
      <c r="E97" s="16"/>
      <c r="G97" s="1"/>
      <c r="H97" s="1"/>
      <c r="I97" s="1"/>
      <c r="J97" s="1"/>
      <c r="K97" s="33"/>
      <c r="L97" s="22"/>
      <c r="M97" s="1"/>
      <c r="N97" s="1"/>
      <c r="O97" s="1"/>
      <c r="P97" s="1"/>
      <c r="Q97" s="1"/>
      <c r="R97" s="1"/>
      <c r="S97" s="1"/>
      <c r="T97" s="3"/>
      <c r="U97" s="3" t="s">
        <v>7</v>
      </c>
      <c r="V97" s="3" t="s">
        <v>7</v>
      </c>
      <c r="W97" s="3" t="s">
        <v>7</v>
      </c>
      <c r="X97" s="3" t="s">
        <v>7</v>
      </c>
      <c r="Y97" s="3" t="b">
        <v>0</v>
      </c>
      <c r="Z97" s="3" t="b">
        <v>0</v>
      </c>
      <c r="AA97" s="3" t="s">
        <v>8</v>
      </c>
      <c r="AB97" s="3" t="b">
        <v>0</v>
      </c>
      <c r="AC97" s="3" t="s">
        <v>70</v>
      </c>
      <c r="AD97" s="3">
        <v>0</v>
      </c>
      <c r="AE97" s="3" t="b">
        <v>0</v>
      </c>
      <c r="AF97" s="3"/>
      <c r="AG97" s="3"/>
      <c r="AH97" s="3"/>
      <c r="AI97" s="3"/>
      <c r="AJ97" s="3" t="s">
        <v>16</v>
      </c>
      <c r="AK97" s="3"/>
      <c r="AL97" s="3"/>
      <c r="AM97" s="3"/>
      <c r="AN97" s="3"/>
      <c r="AO97" s="3"/>
      <c r="AP97" s="3" t="s">
        <v>11</v>
      </c>
      <c r="AQ97" s="3" t="s">
        <v>17</v>
      </c>
      <c r="AR97" s="3"/>
      <c r="AS97" s="3">
        <v>17359079</v>
      </c>
      <c r="AT97" s="3">
        <v>259478685</v>
      </c>
      <c r="AU97" s="3" t="s">
        <v>13</v>
      </c>
      <c r="AV97" s="3" t="b">
        <v>1</v>
      </c>
      <c r="AW97" s="3" t="s">
        <v>72</v>
      </c>
      <c r="AX97" s="34">
        <v>42205.273611111108</v>
      </c>
      <c r="AY97" s="3" t="s">
        <v>72</v>
      </c>
      <c r="AZ97" s="34">
        <v>42205.273611111108</v>
      </c>
      <c r="BB97" s="9" t="str">
        <f t="shared" si="8"/>
        <v>No</v>
      </c>
      <c r="BC97" s="9" t="str">
        <f>IF(EFB!$N97=Table1[[#This Row],[ProgramTitle]],"Yes","No")</f>
        <v>Yes</v>
      </c>
      <c r="BD97" s="9" t="str">
        <f>IF(EFB!$S97=Table1[[#This Row],[SeriesEpisodeTitle]],"Yes","No")</f>
        <v>Yes</v>
      </c>
      <c r="BE97" s="11">
        <f t="shared" si="6"/>
        <v>4.1666666666666664E-2</v>
      </c>
      <c r="BF97" s="11">
        <f t="shared" si="7"/>
        <v>0</v>
      </c>
      <c r="BH97" s="21">
        <f>Table1[[#This Row],[StartTime]]+$BG$2</f>
        <v>4.1666666666666664E-2</v>
      </c>
    </row>
    <row r="98" spans="1:60" x14ac:dyDescent="0.25">
      <c r="A98" s="16"/>
      <c r="B98" s="2"/>
      <c r="C98" s="17">
        <f t="shared" si="5"/>
        <v>4.1666666666666664E-2</v>
      </c>
      <c r="D98" s="16"/>
      <c r="E98" s="16"/>
      <c r="G98" s="1"/>
      <c r="H98" s="1"/>
      <c r="I98" s="1"/>
      <c r="J98" s="1"/>
      <c r="K98" s="33"/>
      <c r="L98" s="22"/>
      <c r="M98" s="1"/>
      <c r="N98" s="1"/>
      <c r="O98" s="1"/>
      <c r="P98" s="1"/>
      <c r="Q98" s="1"/>
      <c r="R98" s="1"/>
      <c r="S98" s="1"/>
      <c r="BB98" s="9" t="str">
        <f t="shared" si="8"/>
        <v>No</v>
      </c>
      <c r="BC98" s="9" t="str">
        <f>IF(EFB!$N98=Table1[[#This Row],[ProgramTitle]],"Yes","No")</f>
        <v>Yes</v>
      </c>
      <c r="BD98" s="9" t="str">
        <f>IF(EFB!$S98=Table1[[#This Row],[SeriesEpisodeTitle]],"Yes","No")</f>
        <v>Yes</v>
      </c>
      <c r="BE98" s="11">
        <f t="shared" si="6"/>
        <v>4.1666666666666664E-2</v>
      </c>
      <c r="BF98" s="11">
        <f t="shared" si="7"/>
        <v>0</v>
      </c>
      <c r="BH98" s="21">
        <f>Table1[[#This Row],[StartTime]]+$BG$2</f>
        <v>4.1666666666666664E-2</v>
      </c>
    </row>
    <row r="99" spans="1:60" x14ac:dyDescent="0.25">
      <c r="A99" s="16"/>
      <c r="B99" s="2"/>
      <c r="C99" s="17">
        <f t="shared" si="5"/>
        <v>4.1666666666666664E-2</v>
      </c>
      <c r="D99" s="16"/>
      <c r="E99" s="16"/>
      <c r="G99" s="1"/>
      <c r="H99" s="1"/>
      <c r="I99" s="1"/>
      <c r="J99" s="1"/>
      <c r="K99" s="33"/>
      <c r="L99" s="22"/>
      <c r="M99" s="1"/>
      <c r="N99" s="1"/>
      <c r="O99" s="1"/>
      <c r="P99" s="1"/>
      <c r="Q99" s="1"/>
      <c r="R99" s="1"/>
      <c r="S99" s="1"/>
      <c r="BB99" s="9" t="str">
        <f t="shared" si="8"/>
        <v>No</v>
      </c>
      <c r="BC99" s="9" t="str">
        <f>IF(EFB!$N99=Table1[[#This Row],[ProgramTitle]],"Yes","No")</f>
        <v>Yes</v>
      </c>
      <c r="BD99" s="9" t="str">
        <f>IF(EFB!$S99=Table1[[#This Row],[SeriesEpisodeTitle]],"Yes","No")</f>
        <v>Yes</v>
      </c>
      <c r="BE99" s="11">
        <f t="shared" si="6"/>
        <v>4.1666666666666664E-2</v>
      </c>
      <c r="BF99" s="11">
        <f t="shared" si="7"/>
        <v>0</v>
      </c>
      <c r="BH99" s="21">
        <f>Table1[[#This Row],[StartTime]]+$BG$2</f>
        <v>4.1666666666666664E-2</v>
      </c>
    </row>
    <row r="100" spans="1:60" x14ac:dyDescent="0.25">
      <c r="A100" s="16"/>
      <c r="B100" s="2"/>
      <c r="C100" s="17">
        <f t="shared" si="5"/>
        <v>4.1666666666666664E-2</v>
      </c>
      <c r="D100" s="16"/>
      <c r="E100" s="16"/>
      <c r="G100" s="1"/>
      <c r="H100" s="1"/>
      <c r="I100" s="1"/>
      <c r="J100" s="1"/>
      <c r="K100" s="33"/>
      <c r="L100" s="22"/>
      <c r="M100" s="1"/>
      <c r="N100" s="1"/>
      <c r="O100" s="1"/>
      <c r="P100" s="1"/>
      <c r="Q100" s="1"/>
      <c r="R100" s="1"/>
      <c r="S100" s="1"/>
      <c r="BB100" s="9" t="str">
        <f t="shared" si="8"/>
        <v>No</v>
      </c>
      <c r="BC100" s="9" t="str">
        <f>IF(EFB!$N100=Table1[[#This Row],[ProgramTitle]],"Yes","No")</f>
        <v>Yes</v>
      </c>
      <c r="BD100" s="9" t="str">
        <f>IF(EFB!$S100=Table1[[#This Row],[SeriesEpisodeTitle]],"Yes","No")</f>
        <v>Yes</v>
      </c>
      <c r="BE100" s="11">
        <f t="shared" si="6"/>
        <v>4.1666666666666664E-2</v>
      </c>
      <c r="BF100" s="11">
        <f t="shared" si="7"/>
        <v>0</v>
      </c>
      <c r="BH100" s="21">
        <f>Table1[[#This Row],[StartTime]]+$BG$2</f>
        <v>4.1666666666666664E-2</v>
      </c>
    </row>
    <row r="101" spans="1:60" x14ac:dyDescent="0.25">
      <c r="A101" s="16"/>
      <c r="B101" s="2"/>
      <c r="C101" s="17">
        <f t="shared" si="5"/>
        <v>4.1666666666666664E-2</v>
      </c>
      <c r="D101" s="16"/>
      <c r="E101" s="16"/>
      <c r="G101" s="1"/>
      <c r="H101" s="1"/>
      <c r="I101" s="1"/>
      <c r="J101" s="1"/>
      <c r="K101" s="33"/>
      <c r="L101" s="22"/>
      <c r="M101" s="1"/>
      <c r="N101" s="1"/>
      <c r="O101" s="1"/>
      <c r="P101" s="1"/>
      <c r="Q101" s="1"/>
      <c r="R101" s="1"/>
      <c r="S101" s="1"/>
      <c r="BB101" s="9" t="str">
        <f t="shared" si="8"/>
        <v>No</v>
      </c>
      <c r="BC101" s="9" t="str">
        <f>IF(EFB!$N101=Table1[[#This Row],[ProgramTitle]],"Yes","No")</f>
        <v>Yes</v>
      </c>
      <c r="BD101" s="9" t="str">
        <f>IF(EFB!$S101=Table1[[#This Row],[SeriesEpisodeTitle]],"Yes","No")</f>
        <v>Yes</v>
      </c>
      <c r="BE101" s="11">
        <f t="shared" si="6"/>
        <v>4.1666666666666664E-2</v>
      </c>
      <c r="BF101" s="11">
        <f t="shared" si="7"/>
        <v>0</v>
      </c>
      <c r="BH101" s="21">
        <f>Table1[[#This Row],[StartTime]]+$BG$2</f>
        <v>4.1666666666666664E-2</v>
      </c>
    </row>
    <row r="102" spans="1:60" x14ac:dyDescent="0.25">
      <c r="A102" s="16"/>
      <c r="B102" s="2"/>
      <c r="C102" s="17">
        <f t="shared" si="5"/>
        <v>4.1666666666666664E-2</v>
      </c>
      <c r="D102" s="16"/>
      <c r="E102" s="16"/>
      <c r="G102" s="1"/>
      <c r="H102" s="1"/>
      <c r="I102" s="1"/>
      <c r="J102" s="1"/>
      <c r="K102" s="33"/>
      <c r="L102" s="22"/>
      <c r="M102" s="1"/>
      <c r="N102" s="1"/>
      <c r="O102" s="1"/>
      <c r="P102" s="1"/>
      <c r="Q102" s="1"/>
      <c r="R102" s="1"/>
      <c r="S102" s="1"/>
      <c r="BB102" s="9" t="str">
        <f t="shared" si="8"/>
        <v>No</v>
      </c>
      <c r="BC102" s="9" t="str">
        <f>IF(EFB!$N102=Table1[[#This Row],[ProgramTitle]],"Yes","No")</f>
        <v>Yes</v>
      </c>
      <c r="BD102" s="9" t="str">
        <f>IF(EFB!$S102=Table1[[#This Row],[SeriesEpisodeTitle]],"Yes","No")</f>
        <v>Yes</v>
      </c>
      <c r="BE102" s="11">
        <f t="shared" si="6"/>
        <v>4.1666666666666664E-2</v>
      </c>
      <c r="BF102" s="11">
        <f t="shared" si="7"/>
        <v>0</v>
      </c>
      <c r="BH102" s="21">
        <f>Table1[[#This Row],[StartTime]]+$BG$2</f>
        <v>4.1666666666666664E-2</v>
      </c>
    </row>
    <row r="103" spans="1:60" x14ac:dyDescent="0.25">
      <c r="A103" s="16"/>
      <c r="B103" s="2"/>
      <c r="C103" s="17">
        <f t="shared" si="5"/>
        <v>4.1666666666666664E-2</v>
      </c>
      <c r="D103" s="16"/>
      <c r="E103" s="16"/>
      <c r="G103" s="1"/>
      <c r="H103" s="1"/>
      <c r="I103" s="1"/>
      <c r="J103" s="1"/>
      <c r="K103" s="33"/>
      <c r="L103" s="22"/>
      <c r="M103" s="1"/>
      <c r="N103" s="1"/>
      <c r="O103" s="1"/>
      <c r="P103" s="1"/>
      <c r="Q103" s="1"/>
      <c r="R103" s="1"/>
      <c r="S103" s="1"/>
      <c r="BB103" s="9" t="str">
        <f t="shared" si="8"/>
        <v>No</v>
      </c>
      <c r="BC103" s="9" t="str">
        <f>IF(EFB!$N103=Table1[[#This Row],[ProgramTitle]],"Yes","No")</f>
        <v>Yes</v>
      </c>
      <c r="BD103" s="9" t="str">
        <f>IF(EFB!$S103=Table1[[#This Row],[SeriesEpisodeTitle]],"Yes","No")</f>
        <v>Yes</v>
      </c>
      <c r="BE103" s="11">
        <f t="shared" si="6"/>
        <v>4.1666666666666664E-2</v>
      </c>
      <c r="BF103" s="11">
        <f t="shared" si="7"/>
        <v>0</v>
      </c>
      <c r="BH103" s="21">
        <f>Table1[[#This Row],[StartTime]]+$BG$2</f>
        <v>4.1666666666666664E-2</v>
      </c>
    </row>
    <row r="104" spans="1:60" x14ac:dyDescent="0.25">
      <c r="A104" s="16"/>
      <c r="B104" s="2"/>
      <c r="C104" s="17">
        <f t="shared" si="5"/>
        <v>4.1666666666666664E-2</v>
      </c>
      <c r="D104" s="16"/>
      <c r="E104" s="16"/>
      <c r="G104" s="1"/>
      <c r="H104" s="1"/>
      <c r="I104" s="1"/>
      <c r="J104" s="1"/>
      <c r="K104" s="33"/>
      <c r="L104" s="22"/>
      <c r="M104" s="1"/>
      <c r="N104" s="1"/>
      <c r="O104" s="1"/>
      <c r="P104" s="1"/>
      <c r="Q104" s="1"/>
      <c r="R104" s="1"/>
      <c r="S104" s="1"/>
      <c r="BB104" s="9" t="str">
        <f t="shared" si="8"/>
        <v>No</v>
      </c>
      <c r="BC104" s="9" t="str">
        <f>IF(EFB!$N104=Table1[[#This Row],[ProgramTitle]],"Yes","No")</f>
        <v>Yes</v>
      </c>
      <c r="BD104" s="9" t="str">
        <f>IF(EFB!$S104=Table1[[#This Row],[SeriesEpisodeTitle]],"Yes","No")</f>
        <v>Yes</v>
      </c>
      <c r="BE104" s="11">
        <f t="shared" si="6"/>
        <v>4.1666666666666664E-2</v>
      </c>
      <c r="BF104" s="11">
        <f t="shared" si="7"/>
        <v>0</v>
      </c>
      <c r="BH104" s="21">
        <f>Table1[[#This Row],[StartTime]]+$BG$2</f>
        <v>4.1666666666666664E-2</v>
      </c>
    </row>
    <row r="105" spans="1:60" x14ac:dyDescent="0.25">
      <c r="A105" s="16"/>
      <c r="B105" s="2"/>
      <c r="C105" s="17">
        <f t="shared" si="5"/>
        <v>4.1666666666666664E-2</v>
      </c>
      <c r="D105" s="16"/>
      <c r="E105" s="16"/>
      <c r="G105" s="1"/>
      <c r="H105" s="1"/>
      <c r="I105" s="1"/>
      <c r="J105" s="1"/>
      <c r="K105" s="33"/>
      <c r="L105" s="22"/>
      <c r="M105" s="1"/>
      <c r="N105" s="1"/>
      <c r="O105" s="1"/>
      <c r="P105" s="1"/>
      <c r="Q105" s="1"/>
      <c r="R105" s="1"/>
      <c r="S105" s="1"/>
      <c r="BB105" s="9" t="str">
        <f t="shared" si="8"/>
        <v>No</v>
      </c>
      <c r="BC105" s="9" t="str">
        <f>IF(EFB!$N105=Table1[[#This Row],[ProgramTitle]],"Yes","No")</f>
        <v>Yes</v>
      </c>
      <c r="BD105" s="9" t="str">
        <f>IF(EFB!$S105=Table1[[#This Row],[SeriesEpisodeTitle]],"Yes","No")</f>
        <v>Yes</v>
      </c>
      <c r="BE105" s="11">
        <f t="shared" si="6"/>
        <v>4.1666666666666664E-2</v>
      </c>
      <c r="BF105" s="11">
        <f t="shared" si="7"/>
        <v>0</v>
      </c>
      <c r="BH105" s="21">
        <f>Table1[[#This Row],[StartTime]]+$BG$2</f>
        <v>4.1666666666666664E-2</v>
      </c>
    </row>
    <row r="106" spans="1:60" x14ac:dyDescent="0.25">
      <c r="A106" s="16"/>
      <c r="B106" s="2"/>
      <c r="C106" s="17">
        <f t="shared" si="5"/>
        <v>4.1666666666666664E-2</v>
      </c>
      <c r="D106" s="16"/>
      <c r="E106" s="16"/>
      <c r="G106" s="1"/>
      <c r="H106" s="1"/>
      <c r="I106" s="1"/>
      <c r="J106" s="1"/>
      <c r="K106" s="33"/>
      <c r="L106" s="22"/>
      <c r="M106" s="1"/>
      <c r="N106" s="1"/>
      <c r="O106" s="1"/>
      <c r="P106" s="1"/>
      <c r="Q106" s="1"/>
      <c r="R106" s="1"/>
      <c r="S106" s="1"/>
      <c r="BB106" s="9" t="str">
        <f t="shared" si="8"/>
        <v>No</v>
      </c>
      <c r="BC106" s="9" t="str">
        <f>IF(EFB!$N106=Table1[[#This Row],[ProgramTitle]],"Yes","No")</f>
        <v>Yes</v>
      </c>
      <c r="BD106" s="9" t="str">
        <f>IF(EFB!$S106=Table1[[#This Row],[SeriesEpisodeTitle]],"Yes","No")</f>
        <v>Yes</v>
      </c>
      <c r="BE106" s="11">
        <f t="shared" si="6"/>
        <v>4.1666666666666664E-2</v>
      </c>
      <c r="BF106" s="11">
        <f t="shared" si="7"/>
        <v>0</v>
      </c>
      <c r="BH106" s="21">
        <f>Table1[[#This Row],[StartTime]]+$BG$2</f>
        <v>4.1666666666666664E-2</v>
      </c>
    </row>
    <row r="107" spans="1:60" x14ac:dyDescent="0.25">
      <c r="A107" s="16"/>
      <c r="B107" s="2"/>
      <c r="C107" s="17">
        <f t="shared" si="5"/>
        <v>4.1666666666666664E-2</v>
      </c>
      <c r="D107" s="16"/>
      <c r="E107" s="16"/>
      <c r="G107" s="1"/>
      <c r="H107" s="1"/>
      <c r="I107" s="1"/>
      <c r="J107" s="1"/>
      <c r="K107" s="33"/>
      <c r="L107" s="22"/>
      <c r="M107" s="1"/>
      <c r="N107" s="1"/>
      <c r="O107" s="1"/>
      <c r="P107" s="1"/>
      <c r="Q107" s="1"/>
      <c r="R107" s="1"/>
      <c r="S107" s="1"/>
      <c r="BB107" s="9" t="str">
        <f t="shared" si="8"/>
        <v>No</v>
      </c>
      <c r="BC107" s="9" t="str">
        <f>IF(EFB!$N107=Table1[[#This Row],[ProgramTitle]],"Yes","No")</f>
        <v>Yes</v>
      </c>
      <c r="BD107" s="9" t="str">
        <f>IF(EFB!$S107=Table1[[#This Row],[SeriesEpisodeTitle]],"Yes","No")</f>
        <v>Yes</v>
      </c>
      <c r="BE107" s="11">
        <f t="shared" si="6"/>
        <v>4.1666666666666664E-2</v>
      </c>
      <c r="BF107" s="11">
        <f t="shared" si="7"/>
        <v>0</v>
      </c>
      <c r="BH107" s="21">
        <f>Table1[[#This Row],[StartTime]]+$BG$2</f>
        <v>4.1666666666666664E-2</v>
      </c>
    </row>
    <row r="108" spans="1:60" x14ac:dyDescent="0.25">
      <c r="A108" s="16"/>
      <c r="B108" s="2"/>
      <c r="C108" s="17">
        <f t="shared" si="5"/>
        <v>4.1666666666666664E-2</v>
      </c>
      <c r="D108" s="16"/>
      <c r="E108" s="16"/>
      <c r="G108" s="1"/>
      <c r="H108" s="1"/>
      <c r="I108" s="1"/>
      <c r="J108" s="1"/>
      <c r="K108" s="33"/>
      <c r="L108" s="22"/>
      <c r="M108" s="1"/>
      <c r="N108" s="1"/>
      <c r="O108" s="1"/>
      <c r="P108" s="1"/>
      <c r="Q108" s="1"/>
      <c r="R108" s="1"/>
      <c r="S108" s="1"/>
      <c r="BB108" s="9" t="str">
        <f t="shared" si="8"/>
        <v>No</v>
      </c>
      <c r="BC108" s="9" t="str">
        <f>IF(EFB!$N108=Table1[[#This Row],[ProgramTitle]],"Yes","No")</f>
        <v>Yes</v>
      </c>
      <c r="BD108" s="9" t="str">
        <f>IF(EFB!$S108=Table1[[#This Row],[SeriesEpisodeTitle]],"Yes","No")</f>
        <v>Yes</v>
      </c>
      <c r="BE108" s="11">
        <f t="shared" si="6"/>
        <v>4.1666666666666664E-2</v>
      </c>
      <c r="BF108" s="11">
        <f t="shared" si="7"/>
        <v>0</v>
      </c>
      <c r="BH108" s="21">
        <f>Table1[[#This Row],[StartTime]]+$BG$2</f>
        <v>4.1666666666666664E-2</v>
      </c>
    </row>
    <row r="109" spans="1:60" x14ac:dyDescent="0.25">
      <c r="A109" s="16"/>
      <c r="B109" s="2"/>
      <c r="C109" s="17">
        <f t="shared" si="5"/>
        <v>4.1666666666666664E-2</v>
      </c>
      <c r="D109" s="16"/>
      <c r="E109" s="16"/>
      <c r="G109" s="1"/>
      <c r="H109" s="1"/>
      <c r="I109" s="1"/>
      <c r="J109" s="1"/>
      <c r="K109" s="33"/>
      <c r="L109" s="22"/>
      <c r="M109" s="1"/>
      <c r="N109" s="1"/>
      <c r="O109" s="1"/>
      <c r="P109" s="1"/>
      <c r="Q109" s="1"/>
      <c r="R109" s="1"/>
      <c r="S109" s="1"/>
      <c r="BB109" s="9" t="str">
        <f t="shared" si="8"/>
        <v>No</v>
      </c>
      <c r="BC109" s="9" t="str">
        <f>IF(EFB!$N109=Table1[[#This Row],[ProgramTitle]],"Yes","No")</f>
        <v>Yes</v>
      </c>
      <c r="BD109" s="9" t="str">
        <f>IF(EFB!$S109=Table1[[#This Row],[SeriesEpisodeTitle]],"Yes","No")</f>
        <v>Yes</v>
      </c>
      <c r="BE109" s="11">
        <f t="shared" si="6"/>
        <v>4.1666666666666664E-2</v>
      </c>
      <c r="BF109" s="11">
        <f t="shared" si="7"/>
        <v>0</v>
      </c>
      <c r="BH109" s="21">
        <f>Table1[[#This Row],[StartTime]]+$BG$2</f>
        <v>4.1666666666666664E-2</v>
      </c>
    </row>
    <row r="110" spans="1:60" x14ac:dyDescent="0.25">
      <c r="A110" s="16"/>
      <c r="B110" s="2"/>
      <c r="C110" s="17">
        <f t="shared" si="5"/>
        <v>4.1666666666666664E-2</v>
      </c>
      <c r="D110" s="16"/>
      <c r="E110" s="16"/>
      <c r="G110" s="1"/>
      <c r="H110" s="1"/>
      <c r="I110" s="1"/>
      <c r="J110" s="1"/>
      <c r="K110" s="33"/>
      <c r="L110" s="22"/>
      <c r="M110" s="1"/>
      <c r="N110" s="1"/>
      <c r="O110" s="1"/>
      <c r="P110" s="1"/>
      <c r="Q110" s="1"/>
      <c r="R110" s="1"/>
      <c r="S110" s="1"/>
      <c r="BB110" s="9" t="str">
        <f t="shared" si="8"/>
        <v>No</v>
      </c>
      <c r="BC110" s="9" t="str">
        <f>IF(EFB!$N110=Table1[[#This Row],[ProgramTitle]],"Yes","No")</f>
        <v>Yes</v>
      </c>
      <c r="BD110" s="9" t="str">
        <f>IF(EFB!$S110=Table1[[#This Row],[SeriesEpisodeTitle]],"Yes","No")</f>
        <v>Yes</v>
      </c>
      <c r="BE110" s="11">
        <f t="shared" si="6"/>
        <v>4.1666666666666664E-2</v>
      </c>
      <c r="BF110" s="11">
        <f t="shared" si="7"/>
        <v>0</v>
      </c>
      <c r="BH110" s="21">
        <f>Table1[[#This Row],[StartTime]]+$BG$2</f>
        <v>4.1666666666666664E-2</v>
      </c>
    </row>
    <row r="111" spans="1:60" x14ac:dyDescent="0.25">
      <c r="A111" s="16"/>
      <c r="B111" s="2"/>
      <c r="C111" s="17">
        <f t="shared" si="5"/>
        <v>4.1666666666666664E-2</v>
      </c>
      <c r="D111" s="16"/>
      <c r="E111" s="16"/>
      <c r="G111" s="1"/>
      <c r="H111" s="1"/>
      <c r="I111" s="1"/>
      <c r="J111" s="1"/>
      <c r="K111" s="33"/>
      <c r="L111" s="22"/>
      <c r="M111" s="1"/>
      <c r="N111" s="1"/>
      <c r="O111" s="1"/>
      <c r="P111" s="1"/>
      <c r="Q111" s="1"/>
      <c r="R111" s="1"/>
      <c r="S111" s="1"/>
      <c r="BB111" s="9" t="str">
        <f t="shared" ref="BB111:BB174" si="9">IF(BE111=BF111,"Yes","No")</f>
        <v>No</v>
      </c>
      <c r="BC111" s="9" t="str">
        <f>IF(EFB!$N111=Table1[[#This Row],[ProgramTitle]],"Yes","No")</f>
        <v>Yes</v>
      </c>
      <c r="BD111" s="9" t="str">
        <f>IF(EFB!$S111=Table1[[#This Row],[SeriesEpisodeTitle]],"Yes","No")</f>
        <v>Yes</v>
      </c>
      <c r="BE111" s="11">
        <f t="shared" ref="BE111:BE174" si="10">TIME(HOUR(C111),MINUTE(C111),SECOND(0))</f>
        <v>4.1666666666666664E-2</v>
      </c>
      <c r="BF111" s="11">
        <f t="shared" ref="BF111:BF174" si="11">TIME(HOUR(L111),MINUTE(L111),SECOND(0))</f>
        <v>0</v>
      </c>
      <c r="BH111" s="21">
        <f>Table1[[#This Row],[StartTime]]+$BG$2</f>
        <v>4.1666666666666664E-2</v>
      </c>
    </row>
    <row r="112" spans="1:60" x14ac:dyDescent="0.25">
      <c r="A112" s="16"/>
      <c r="B112" s="2"/>
      <c r="C112" s="17">
        <f t="shared" si="5"/>
        <v>4.1666666666666664E-2</v>
      </c>
      <c r="D112" s="16"/>
      <c r="E112" s="16"/>
      <c r="G112" s="1"/>
      <c r="H112" s="1"/>
      <c r="I112" s="1"/>
      <c r="J112" s="1"/>
      <c r="K112" s="33"/>
      <c r="L112" s="22"/>
      <c r="M112" s="1"/>
      <c r="N112" s="1"/>
      <c r="O112" s="1"/>
      <c r="P112" s="1"/>
      <c r="Q112" s="1"/>
      <c r="R112" s="1"/>
      <c r="S112" s="1"/>
      <c r="BB112" s="9" t="str">
        <f t="shared" si="9"/>
        <v>No</v>
      </c>
      <c r="BC112" s="9" t="str">
        <f>IF(EFB!$N112=Table1[[#This Row],[ProgramTitle]],"Yes","No")</f>
        <v>Yes</v>
      </c>
      <c r="BD112" s="9" t="str">
        <f>IF(EFB!$S112=Table1[[#This Row],[SeriesEpisodeTitle]],"Yes","No")</f>
        <v>Yes</v>
      </c>
      <c r="BE112" s="11">
        <f t="shared" si="10"/>
        <v>4.1666666666666664E-2</v>
      </c>
      <c r="BF112" s="11">
        <f t="shared" si="11"/>
        <v>0</v>
      </c>
      <c r="BH112" s="21">
        <f>Table1[[#This Row],[StartTime]]+$BG$2</f>
        <v>4.1666666666666664E-2</v>
      </c>
    </row>
    <row r="113" spans="1:60" x14ac:dyDescent="0.25">
      <c r="A113" s="16"/>
      <c r="B113" s="2"/>
      <c r="C113" s="17">
        <f t="shared" si="5"/>
        <v>4.1666666666666664E-2</v>
      </c>
      <c r="D113" s="16"/>
      <c r="E113" s="16"/>
      <c r="G113" s="1"/>
      <c r="H113" s="1"/>
      <c r="I113" s="1"/>
      <c r="J113" s="1"/>
      <c r="K113" s="33"/>
      <c r="L113" s="22"/>
      <c r="M113" s="1"/>
      <c r="N113" s="1"/>
      <c r="O113" s="1"/>
      <c r="P113" s="1"/>
      <c r="Q113" s="1"/>
      <c r="R113" s="1"/>
      <c r="S113" s="1"/>
      <c r="BB113" s="9" t="str">
        <f t="shared" si="9"/>
        <v>No</v>
      </c>
      <c r="BC113" s="9" t="str">
        <f>IF(EFB!$N113=Table1[[#This Row],[ProgramTitle]],"Yes","No")</f>
        <v>Yes</v>
      </c>
      <c r="BD113" s="9" t="str">
        <f>IF(EFB!$S113=Table1[[#This Row],[SeriesEpisodeTitle]],"Yes","No")</f>
        <v>Yes</v>
      </c>
      <c r="BE113" s="11">
        <f t="shared" si="10"/>
        <v>4.1666666666666664E-2</v>
      </c>
      <c r="BF113" s="11">
        <f t="shared" si="11"/>
        <v>0</v>
      </c>
      <c r="BH113" s="21">
        <f>Table1[[#This Row],[StartTime]]+$BG$2</f>
        <v>4.1666666666666664E-2</v>
      </c>
    </row>
    <row r="114" spans="1:60" x14ac:dyDescent="0.25">
      <c r="A114" s="16"/>
      <c r="B114" s="2"/>
      <c r="C114" s="17">
        <f t="shared" si="5"/>
        <v>4.1666666666666664E-2</v>
      </c>
      <c r="D114" s="16"/>
      <c r="E114" s="16"/>
      <c r="G114" s="1"/>
      <c r="H114" s="1"/>
      <c r="I114" s="1"/>
      <c r="J114" s="1"/>
      <c r="K114" s="33"/>
      <c r="L114" s="22"/>
      <c r="M114" s="1"/>
      <c r="N114" s="1"/>
      <c r="O114" s="1"/>
      <c r="P114" s="1"/>
      <c r="Q114" s="1"/>
      <c r="R114" s="1"/>
      <c r="S114" s="1"/>
      <c r="BB114" s="9" t="str">
        <f t="shared" si="9"/>
        <v>No</v>
      </c>
      <c r="BC114" s="9" t="str">
        <f>IF(EFB!$N114=Table1[[#This Row],[ProgramTitle]],"Yes","No")</f>
        <v>Yes</v>
      </c>
      <c r="BD114" s="9" t="str">
        <f>IF(EFB!$S114=Table1[[#This Row],[SeriesEpisodeTitle]],"Yes","No")</f>
        <v>Yes</v>
      </c>
      <c r="BE114" s="11">
        <f t="shared" si="10"/>
        <v>4.1666666666666664E-2</v>
      </c>
      <c r="BF114" s="11">
        <f t="shared" si="11"/>
        <v>0</v>
      </c>
      <c r="BH114" s="21">
        <f>Table1[[#This Row],[StartTime]]+$BG$2</f>
        <v>4.1666666666666664E-2</v>
      </c>
    </row>
    <row r="115" spans="1:60" x14ac:dyDescent="0.25">
      <c r="A115" s="16"/>
      <c r="B115" s="2"/>
      <c r="C115" s="17">
        <f t="shared" si="5"/>
        <v>4.1666666666666664E-2</v>
      </c>
      <c r="D115" s="16"/>
      <c r="E115" s="16"/>
      <c r="G115" s="1"/>
      <c r="H115" s="1"/>
      <c r="I115" s="1"/>
      <c r="J115" s="1"/>
      <c r="K115" s="33"/>
      <c r="L115" s="22"/>
      <c r="M115" s="1"/>
      <c r="N115" s="1"/>
      <c r="O115" s="1"/>
      <c r="P115" s="1"/>
      <c r="Q115" s="1"/>
      <c r="R115" s="1"/>
      <c r="S115" s="1"/>
      <c r="BB115" s="9" t="str">
        <f t="shared" si="9"/>
        <v>No</v>
      </c>
      <c r="BC115" s="9" t="str">
        <f>IF(EFB!$N115=Table1[[#This Row],[ProgramTitle]],"Yes","No")</f>
        <v>Yes</v>
      </c>
      <c r="BD115" s="9" t="str">
        <f>IF(EFB!$S115=Table1[[#This Row],[SeriesEpisodeTitle]],"Yes","No")</f>
        <v>Yes</v>
      </c>
      <c r="BE115" s="11">
        <f t="shared" si="10"/>
        <v>4.1666666666666664E-2</v>
      </c>
      <c r="BF115" s="11">
        <f t="shared" si="11"/>
        <v>0</v>
      </c>
      <c r="BH115" s="21">
        <f>Table1[[#This Row],[StartTime]]+$BG$2</f>
        <v>4.1666666666666664E-2</v>
      </c>
    </row>
    <row r="116" spans="1:60" x14ac:dyDescent="0.25">
      <c r="A116" s="16"/>
      <c r="B116" s="2"/>
      <c r="C116" s="17">
        <f t="shared" si="5"/>
        <v>4.1666666666666664E-2</v>
      </c>
      <c r="D116" s="16"/>
      <c r="E116" s="16"/>
      <c r="G116" s="1"/>
      <c r="H116" s="1"/>
      <c r="I116" s="1"/>
      <c r="J116" s="1"/>
      <c r="K116" s="33"/>
      <c r="L116" s="22"/>
      <c r="M116" s="1"/>
      <c r="N116" s="1"/>
      <c r="O116" s="1"/>
      <c r="P116" s="1"/>
      <c r="Q116" s="1"/>
      <c r="R116" s="1"/>
      <c r="S116" s="1"/>
      <c r="BB116" s="9" t="str">
        <f t="shared" si="9"/>
        <v>No</v>
      </c>
      <c r="BC116" s="9" t="str">
        <f>IF(EFB!$N116=Table1[[#This Row],[ProgramTitle]],"Yes","No")</f>
        <v>Yes</v>
      </c>
      <c r="BD116" s="9" t="str">
        <f>IF(EFB!$S116=Table1[[#This Row],[SeriesEpisodeTitle]],"Yes","No")</f>
        <v>Yes</v>
      </c>
      <c r="BE116" s="11">
        <f t="shared" si="10"/>
        <v>4.1666666666666664E-2</v>
      </c>
      <c r="BF116" s="11">
        <f t="shared" si="11"/>
        <v>0</v>
      </c>
      <c r="BH116" s="21">
        <f>Table1[[#This Row],[StartTime]]+$BG$2</f>
        <v>4.1666666666666664E-2</v>
      </c>
    </row>
    <row r="117" spans="1:60" x14ac:dyDescent="0.25">
      <c r="A117" s="16"/>
      <c r="B117" s="2"/>
      <c r="C117" s="17">
        <f t="shared" si="5"/>
        <v>4.1666666666666664E-2</v>
      </c>
      <c r="D117" s="16"/>
      <c r="E117" s="16"/>
      <c r="G117" s="1"/>
      <c r="H117" s="1"/>
      <c r="I117" s="1"/>
      <c r="J117" s="1"/>
      <c r="K117" s="33"/>
      <c r="L117" s="22"/>
      <c r="M117" s="1"/>
      <c r="N117" s="1"/>
      <c r="O117" s="1"/>
      <c r="P117" s="1"/>
      <c r="Q117" s="1"/>
      <c r="R117" s="1"/>
      <c r="S117" s="1"/>
      <c r="BB117" s="9" t="str">
        <f t="shared" si="9"/>
        <v>No</v>
      </c>
      <c r="BC117" s="9" t="str">
        <f>IF(EFB!$N117=Table1[[#This Row],[ProgramTitle]],"Yes","No")</f>
        <v>Yes</v>
      </c>
      <c r="BD117" s="9" t="str">
        <f>IF(EFB!$S117=Table1[[#This Row],[SeriesEpisodeTitle]],"Yes","No")</f>
        <v>Yes</v>
      </c>
      <c r="BE117" s="11">
        <f t="shared" si="10"/>
        <v>4.1666666666666664E-2</v>
      </c>
      <c r="BF117" s="11">
        <f t="shared" si="11"/>
        <v>0</v>
      </c>
      <c r="BH117" s="21">
        <f>Table1[[#This Row],[StartTime]]+$BG$2</f>
        <v>4.1666666666666664E-2</v>
      </c>
    </row>
    <row r="118" spans="1:60" x14ac:dyDescent="0.25">
      <c r="A118" s="16"/>
      <c r="B118" s="2"/>
      <c r="C118" s="17">
        <f t="shared" si="5"/>
        <v>4.1666666666666664E-2</v>
      </c>
      <c r="D118" s="16"/>
      <c r="E118" s="16"/>
      <c r="G118" s="1"/>
      <c r="H118" s="1"/>
      <c r="I118" s="1"/>
      <c r="J118" s="1"/>
      <c r="K118" s="33"/>
      <c r="L118" s="22"/>
      <c r="M118" s="1"/>
      <c r="N118" s="1"/>
      <c r="O118" s="1"/>
      <c r="P118" s="1"/>
      <c r="Q118" s="1"/>
      <c r="R118" s="1"/>
      <c r="S118" s="1"/>
      <c r="BB118" s="9" t="str">
        <f t="shared" si="9"/>
        <v>No</v>
      </c>
      <c r="BC118" s="9" t="str">
        <f>IF(EFB!$N118=Table1[[#This Row],[ProgramTitle]],"Yes","No")</f>
        <v>Yes</v>
      </c>
      <c r="BD118" s="9" t="str">
        <f>IF(EFB!$S118=Table1[[#This Row],[SeriesEpisodeTitle]],"Yes","No")</f>
        <v>Yes</v>
      </c>
      <c r="BE118" s="11">
        <f t="shared" si="10"/>
        <v>4.1666666666666664E-2</v>
      </c>
      <c r="BF118" s="11">
        <f t="shared" si="11"/>
        <v>0</v>
      </c>
      <c r="BH118" s="21">
        <f>Table1[[#This Row],[StartTime]]+$BG$2</f>
        <v>4.1666666666666664E-2</v>
      </c>
    </row>
    <row r="119" spans="1:60" x14ac:dyDescent="0.25">
      <c r="A119" s="16"/>
      <c r="B119" s="2"/>
      <c r="C119" s="17">
        <f t="shared" si="5"/>
        <v>4.1666666666666664E-2</v>
      </c>
      <c r="D119" s="16"/>
      <c r="E119" s="16"/>
      <c r="G119" s="1"/>
      <c r="H119" s="1"/>
      <c r="I119" s="1"/>
      <c r="J119" s="1"/>
      <c r="K119" s="33"/>
      <c r="L119" s="22"/>
      <c r="M119" s="1"/>
      <c r="N119" s="1"/>
      <c r="O119" s="1"/>
      <c r="P119" s="1"/>
      <c r="Q119" s="1"/>
      <c r="R119" s="1"/>
      <c r="S119" s="1"/>
      <c r="BB119" s="9" t="str">
        <f t="shared" si="9"/>
        <v>No</v>
      </c>
      <c r="BC119" s="9" t="str">
        <f>IF(EFB!$N119=Table1[[#This Row],[ProgramTitle]],"Yes","No")</f>
        <v>Yes</v>
      </c>
      <c r="BD119" s="9" t="str">
        <f>IF(EFB!$S119=Table1[[#This Row],[SeriesEpisodeTitle]],"Yes","No")</f>
        <v>Yes</v>
      </c>
      <c r="BE119" s="11">
        <f t="shared" si="10"/>
        <v>4.1666666666666664E-2</v>
      </c>
      <c r="BF119" s="11">
        <f t="shared" si="11"/>
        <v>0</v>
      </c>
      <c r="BH119" s="21">
        <f>Table1[[#This Row],[StartTime]]+$BG$2</f>
        <v>4.1666666666666664E-2</v>
      </c>
    </row>
    <row r="120" spans="1:60" x14ac:dyDescent="0.25">
      <c r="A120" s="16"/>
      <c r="B120" s="2"/>
      <c r="C120" s="17">
        <f t="shared" si="5"/>
        <v>4.1666666666666664E-2</v>
      </c>
      <c r="D120" s="16"/>
      <c r="E120" s="16"/>
      <c r="G120" s="1"/>
      <c r="H120" s="1"/>
      <c r="I120" s="1"/>
      <c r="J120" s="1"/>
      <c r="K120" s="33"/>
      <c r="L120" s="22"/>
      <c r="M120" s="1"/>
      <c r="N120" s="1"/>
      <c r="O120" s="1"/>
      <c r="P120" s="1"/>
      <c r="Q120" s="1"/>
      <c r="R120" s="1"/>
      <c r="S120" s="1"/>
      <c r="BB120" s="9" t="str">
        <f t="shared" si="9"/>
        <v>No</v>
      </c>
      <c r="BC120" s="9" t="str">
        <f>IF(EFB!$N120=Table1[[#This Row],[ProgramTitle]],"Yes","No")</f>
        <v>Yes</v>
      </c>
      <c r="BD120" s="9" t="str">
        <f>IF(EFB!$S120=Table1[[#This Row],[SeriesEpisodeTitle]],"Yes","No")</f>
        <v>Yes</v>
      </c>
      <c r="BE120" s="11">
        <f t="shared" si="10"/>
        <v>4.1666666666666664E-2</v>
      </c>
      <c r="BF120" s="11">
        <f t="shared" si="11"/>
        <v>0</v>
      </c>
      <c r="BH120" s="21">
        <f>Table1[[#This Row],[StartTime]]+$BG$2</f>
        <v>4.1666666666666664E-2</v>
      </c>
    </row>
    <row r="121" spans="1:60" x14ac:dyDescent="0.25">
      <c r="A121" s="16"/>
      <c r="B121" s="2"/>
      <c r="C121" s="17">
        <f t="shared" si="5"/>
        <v>4.1666666666666664E-2</v>
      </c>
      <c r="D121" s="16"/>
      <c r="E121" s="16"/>
      <c r="G121" s="1"/>
      <c r="H121" s="1"/>
      <c r="I121" s="1"/>
      <c r="J121" s="1"/>
      <c r="K121" s="33"/>
      <c r="L121" s="22"/>
      <c r="M121" s="1"/>
      <c r="N121" s="1"/>
      <c r="O121" s="1"/>
      <c r="P121" s="1"/>
      <c r="Q121" s="1"/>
      <c r="R121" s="1"/>
      <c r="S121" s="1"/>
      <c r="BB121" s="9" t="str">
        <f t="shared" si="9"/>
        <v>No</v>
      </c>
      <c r="BC121" s="9" t="str">
        <f>IF(EFB!$N121=Table1[[#This Row],[ProgramTitle]],"Yes","No")</f>
        <v>Yes</v>
      </c>
      <c r="BD121" s="9" t="str">
        <f>IF(EFB!$S121=Table1[[#This Row],[SeriesEpisodeTitle]],"Yes","No")</f>
        <v>Yes</v>
      </c>
      <c r="BE121" s="11">
        <f t="shared" si="10"/>
        <v>4.1666666666666664E-2</v>
      </c>
      <c r="BF121" s="11">
        <f t="shared" si="11"/>
        <v>0</v>
      </c>
      <c r="BH121" s="21">
        <f>Table1[[#This Row],[StartTime]]+$BG$2</f>
        <v>4.1666666666666664E-2</v>
      </c>
    </row>
    <row r="122" spans="1:60" x14ac:dyDescent="0.25">
      <c r="A122" s="16"/>
      <c r="B122" s="2"/>
      <c r="C122" s="17">
        <f t="shared" si="5"/>
        <v>4.1666666666666664E-2</v>
      </c>
      <c r="D122" s="16"/>
      <c r="E122" s="16"/>
      <c r="G122" s="1"/>
      <c r="H122" s="1"/>
      <c r="I122" s="1"/>
      <c r="J122" s="1"/>
      <c r="K122" s="33"/>
      <c r="L122" s="22"/>
      <c r="M122" s="1"/>
      <c r="N122" s="1"/>
      <c r="O122" s="1"/>
      <c r="P122" s="1"/>
      <c r="Q122" s="1"/>
      <c r="R122" s="1"/>
      <c r="S122" s="1"/>
      <c r="BB122" s="9" t="str">
        <f t="shared" si="9"/>
        <v>No</v>
      </c>
      <c r="BC122" s="9" t="str">
        <f>IF(EFB!$N122=Table1[[#This Row],[ProgramTitle]],"Yes","No")</f>
        <v>Yes</v>
      </c>
      <c r="BD122" s="9" t="str">
        <f>IF(EFB!$S122=Table1[[#This Row],[SeriesEpisodeTitle]],"Yes","No")</f>
        <v>Yes</v>
      </c>
      <c r="BE122" s="11">
        <f t="shared" si="10"/>
        <v>4.1666666666666664E-2</v>
      </c>
      <c r="BF122" s="11">
        <f t="shared" si="11"/>
        <v>0</v>
      </c>
      <c r="BH122" s="21">
        <f>Table1[[#This Row],[StartTime]]+$BG$2</f>
        <v>4.1666666666666664E-2</v>
      </c>
    </row>
    <row r="123" spans="1:60" x14ac:dyDescent="0.25">
      <c r="A123" s="16"/>
      <c r="B123" s="2"/>
      <c r="C123" s="17">
        <f t="shared" si="5"/>
        <v>4.1666666666666664E-2</v>
      </c>
      <c r="D123" s="16"/>
      <c r="E123" s="16"/>
      <c r="G123" s="1"/>
      <c r="H123" s="1"/>
      <c r="I123" s="1"/>
      <c r="J123" s="1"/>
      <c r="K123" s="33"/>
      <c r="L123" s="22"/>
      <c r="M123" s="1"/>
      <c r="N123" s="1"/>
      <c r="O123" s="1"/>
      <c r="P123" s="1"/>
      <c r="Q123" s="1"/>
      <c r="R123" s="1"/>
      <c r="S123" s="1"/>
      <c r="BB123" s="9" t="str">
        <f t="shared" si="9"/>
        <v>No</v>
      </c>
      <c r="BC123" s="9" t="str">
        <f>IF(EFB!$N123=Table1[[#This Row],[ProgramTitle]],"Yes","No")</f>
        <v>Yes</v>
      </c>
      <c r="BD123" s="9" t="str">
        <f>IF(EFB!$S123=Table1[[#This Row],[SeriesEpisodeTitle]],"Yes","No")</f>
        <v>Yes</v>
      </c>
      <c r="BE123" s="11">
        <f t="shared" si="10"/>
        <v>4.1666666666666664E-2</v>
      </c>
      <c r="BF123" s="11">
        <f t="shared" si="11"/>
        <v>0</v>
      </c>
      <c r="BH123" s="21">
        <f>Table1[[#This Row],[StartTime]]+$BG$2</f>
        <v>4.1666666666666664E-2</v>
      </c>
    </row>
    <row r="124" spans="1:60" x14ac:dyDescent="0.25">
      <c r="A124" s="16"/>
      <c r="B124" s="2"/>
      <c r="C124" s="17">
        <f t="shared" si="5"/>
        <v>4.1666666666666664E-2</v>
      </c>
      <c r="D124" s="16"/>
      <c r="E124" s="16"/>
      <c r="G124" s="1"/>
      <c r="H124" s="1"/>
      <c r="I124" s="1"/>
      <c r="J124" s="1"/>
      <c r="K124" s="33"/>
      <c r="L124" s="22"/>
      <c r="M124" s="1"/>
      <c r="N124" s="1"/>
      <c r="O124" s="1"/>
      <c r="P124" s="1"/>
      <c r="Q124" s="1"/>
      <c r="R124" s="1"/>
      <c r="S124" s="1"/>
      <c r="BB124" s="9" t="str">
        <f t="shared" si="9"/>
        <v>No</v>
      </c>
      <c r="BC124" s="9" t="str">
        <f>IF(EFB!$N124=Table1[[#This Row],[ProgramTitle]],"Yes","No")</f>
        <v>Yes</v>
      </c>
      <c r="BD124" s="9" t="str">
        <f>IF(EFB!$S124=Table1[[#This Row],[SeriesEpisodeTitle]],"Yes","No")</f>
        <v>Yes</v>
      </c>
      <c r="BE124" s="11">
        <f t="shared" si="10"/>
        <v>4.1666666666666664E-2</v>
      </c>
      <c r="BF124" s="11">
        <f t="shared" si="11"/>
        <v>0</v>
      </c>
      <c r="BH124" s="21">
        <f>Table1[[#This Row],[StartTime]]+$BG$2</f>
        <v>4.1666666666666664E-2</v>
      </c>
    </row>
    <row r="125" spans="1:60" x14ac:dyDescent="0.25">
      <c r="A125" s="16"/>
      <c r="B125" s="2"/>
      <c r="C125" s="17">
        <f t="shared" si="5"/>
        <v>4.1666666666666664E-2</v>
      </c>
      <c r="D125" s="16"/>
      <c r="E125" s="16"/>
      <c r="G125" s="1"/>
      <c r="H125" s="1"/>
      <c r="I125" s="1"/>
      <c r="J125" s="1"/>
      <c r="K125" s="33"/>
      <c r="L125" s="22"/>
      <c r="M125" s="1"/>
      <c r="N125" s="1"/>
      <c r="O125" s="1"/>
      <c r="P125" s="1"/>
      <c r="Q125" s="1"/>
      <c r="R125" s="1"/>
      <c r="S125" s="1"/>
      <c r="BB125" s="9" t="str">
        <f t="shared" si="9"/>
        <v>No</v>
      </c>
      <c r="BC125" s="9" t="str">
        <f>IF(EFB!$N125=Table1[[#This Row],[ProgramTitle]],"Yes","No")</f>
        <v>Yes</v>
      </c>
      <c r="BD125" s="9" t="str">
        <f>IF(EFB!$S125=Table1[[#This Row],[SeriesEpisodeTitle]],"Yes","No")</f>
        <v>Yes</v>
      </c>
      <c r="BE125" s="11">
        <f t="shared" si="10"/>
        <v>4.1666666666666664E-2</v>
      </c>
      <c r="BF125" s="11">
        <f t="shared" si="11"/>
        <v>0</v>
      </c>
      <c r="BH125" s="21">
        <f>Table1[[#This Row],[StartTime]]+$BG$2</f>
        <v>4.1666666666666664E-2</v>
      </c>
    </row>
    <row r="126" spans="1:60" x14ac:dyDescent="0.25">
      <c r="A126" s="16"/>
      <c r="B126" s="2"/>
      <c r="C126" s="17">
        <f t="shared" si="5"/>
        <v>4.1666666666666664E-2</v>
      </c>
      <c r="D126" s="16"/>
      <c r="E126" s="16"/>
      <c r="G126" s="1"/>
      <c r="H126" s="1"/>
      <c r="I126" s="1"/>
      <c r="J126" s="1"/>
      <c r="K126" s="33"/>
      <c r="L126" s="22"/>
      <c r="M126" s="1"/>
      <c r="N126" s="1"/>
      <c r="O126" s="1"/>
      <c r="P126" s="1"/>
      <c r="Q126" s="1"/>
      <c r="R126" s="1"/>
      <c r="S126" s="1"/>
      <c r="BB126" s="9" t="str">
        <f t="shared" si="9"/>
        <v>No</v>
      </c>
      <c r="BC126" s="9" t="str">
        <f>IF(EFB!$N126=Table1[[#This Row],[ProgramTitle]],"Yes","No")</f>
        <v>Yes</v>
      </c>
      <c r="BD126" s="9" t="str">
        <f>IF(EFB!$S126=Table1[[#This Row],[SeriesEpisodeTitle]],"Yes","No")</f>
        <v>Yes</v>
      </c>
      <c r="BE126" s="11">
        <f t="shared" si="10"/>
        <v>4.1666666666666664E-2</v>
      </c>
      <c r="BF126" s="11">
        <f t="shared" si="11"/>
        <v>0</v>
      </c>
      <c r="BH126" s="21">
        <f>Table1[[#This Row],[StartTime]]+$BG$2</f>
        <v>4.1666666666666664E-2</v>
      </c>
    </row>
    <row r="127" spans="1:60" x14ac:dyDescent="0.25">
      <c r="A127" s="16"/>
      <c r="B127" s="2"/>
      <c r="C127" s="17">
        <f t="shared" si="5"/>
        <v>4.1666666666666664E-2</v>
      </c>
      <c r="D127" s="16"/>
      <c r="E127" s="16"/>
      <c r="G127" s="1"/>
      <c r="H127" s="1"/>
      <c r="I127" s="1"/>
      <c r="J127" s="1"/>
      <c r="K127" s="33"/>
      <c r="L127" s="22"/>
      <c r="M127" s="1"/>
      <c r="N127" s="1"/>
      <c r="O127" s="1"/>
      <c r="P127" s="1"/>
      <c r="Q127" s="1"/>
      <c r="R127" s="1"/>
      <c r="S127" s="1"/>
      <c r="BB127" s="9" t="str">
        <f t="shared" si="9"/>
        <v>No</v>
      </c>
      <c r="BC127" s="9" t="str">
        <f>IF(EFB!$N127=Table1[[#This Row],[ProgramTitle]],"Yes","No")</f>
        <v>Yes</v>
      </c>
      <c r="BD127" s="9" t="str">
        <f>IF(EFB!$S127=Table1[[#This Row],[SeriesEpisodeTitle]],"Yes","No")</f>
        <v>Yes</v>
      </c>
      <c r="BE127" s="11">
        <f t="shared" si="10"/>
        <v>4.1666666666666664E-2</v>
      </c>
      <c r="BF127" s="11">
        <f t="shared" si="11"/>
        <v>0</v>
      </c>
      <c r="BH127" s="21">
        <f>Table1[[#This Row],[StartTime]]+$BG$2</f>
        <v>4.1666666666666664E-2</v>
      </c>
    </row>
    <row r="128" spans="1:60" x14ac:dyDescent="0.25">
      <c r="A128" s="16"/>
      <c r="B128" s="2"/>
      <c r="C128" s="17">
        <f t="shared" si="5"/>
        <v>4.1666666666666664E-2</v>
      </c>
      <c r="D128" s="16"/>
      <c r="E128" s="16"/>
      <c r="G128" s="1"/>
      <c r="H128" s="1"/>
      <c r="I128" s="1"/>
      <c r="J128" s="1"/>
      <c r="K128" s="33"/>
      <c r="L128" s="22"/>
      <c r="M128" s="1"/>
      <c r="N128" s="1"/>
      <c r="O128" s="1"/>
      <c r="P128" s="1"/>
      <c r="Q128" s="1"/>
      <c r="R128" s="1"/>
      <c r="S128" s="1"/>
      <c r="BB128" s="9" t="str">
        <f t="shared" si="9"/>
        <v>No</v>
      </c>
      <c r="BC128" s="9" t="str">
        <f>IF(EFB!$N128=Table1[[#This Row],[ProgramTitle]],"Yes","No")</f>
        <v>Yes</v>
      </c>
      <c r="BD128" s="9" t="str">
        <f>IF(EFB!$S128=Table1[[#This Row],[SeriesEpisodeTitle]],"Yes","No")</f>
        <v>Yes</v>
      </c>
      <c r="BE128" s="11">
        <f t="shared" si="10"/>
        <v>4.1666666666666664E-2</v>
      </c>
      <c r="BF128" s="11">
        <f t="shared" si="11"/>
        <v>0</v>
      </c>
      <c r="BH128" s="21">
        <f>Table1[[#This Row],[StartTime]]+$BG$2</f>
        <v>4.1666666666666664E-2</v>
      </c>
    </row>
    <row r="129" spans="1:60" x14ac:dyDescent="0.25">
      <c r="A129" s="16"/>
      <c r="B129" s="2"/>
      <c r="C129" s="17">
        <f t="shared" si="5"/>
        <v>4.1666666666666664E-2</v>
      </c>
      <c r="D129" s="16"/>
      <c r="E129" s="16"/>
      <c r="G129" s="1"/>
      <c r="H129" s="1"/>
      <c r="I129" s="1"/>
      <c r="J129" s="1"/>
      <c r="K129" s="33"/>
      <c r="L129" s="22"/>
      <c r="M129" s="1"/>
      <c r="N129" s="1"/>
      <c r="O129" s="1"/>
      <c r="P129" s="1"/>
      <c r="Q129" s="1"/>
      <c r="R129" s="1"/>
      <c r="S129" s="1"/>
      <c r="BB129" s="9" t="str">
        <f t="shared" si="9"/>
        <v>No</v>
      </c>
      <c r="BC129" s="9" t="str">
        <f>IF(EFB!$N129=Table1[[#This Row],[ProgramTitle]],"Yes","No")</f>
        <v>Yes</v>
      </c>
      <c r="BD129" s="9" t="str">
        <f>IF(EFB!$S129=Table1[[#This Row],[SeriesEpisodeTitle]],"Yes","No")</f>
        <v>Yes</v>
      </c>
      <c r="BE129" s="11">
        <f t="shared" si="10"/>
        <v>4.1666666666666664E-2</v>
      </c>
      <c r="BF129" s="11">
        <f t="shared" si="11"/>
        <v>0</v>
      </c>
      <c r="BH129" s="21">
        <f>Table1[[#This Row],[StartTime]]+$BG$2</f>
        <v>4.1666666666666664E-2</v>
      </c>
    </row>
    <row r="130" spans="1:60" x14ac:dyDescent="0.25">
      <c r="A130" s="16"/>
      <c r="B130" s="2"/>
      <c r="C130" s="17">
        <f t="shared" ref="C130:C150" si="12">BH130</f>
        <v>4.1666666666666664E-2</v>
      </c>
      <c r="D130" s="16"/>
      <c r="E130" s="16"/>
      <c r="G130" s="1"/>
      <c r="H130" s="1"/>
      <c r="I130" s="1"/>
      <c r="J130" s="1"/>
      <c r="K130" s="33"/>
      <c r="L130" s="22"/>
      <c r="M130" s="1"/>
      <c r="N130" s="1"/>
      <c r="O130" s="1"/>
      <c r="P130" s="1"/>
      <c r="Q130" s="1"/>
      <c r="R130" s="1"/>
      <c r="S130" s="1"/>
      <c r="BB130" s="9" t="str">
        <f t="shared" si="9"/>
        <v>No</v>
      </c>
      <c r="BC130" s="9" t="str">
        <f>IF(EFB!$N130=Table1[[#This Row],[ProgramTitle]],"Yes","No")</f>
        <v>Yes</v>
      </c>
      <c r="BD130" s="9" t="str">
        <f>IF(EFB!$S130=Table1[[#This Row],[SeriesEpisodeTitle]],"Yes","No")</f>
        <v>Yes</v>
      </c>
      <c r="BE130" s="11">
        <f t="shared" si="10"/>
        <v>4.1666666666666664E-2</v>
      </c>
      <c r="BF130" s="11">
        <f t="shared" si="11"/>
        <v>0</v>
      </c>
      <c r="BH130" s="21">
        <f>Table1[[#This Row],[StartTime]]+$BG$2</f>
        <v>4.1666666666666664E-2</v>
      </c>
    </row>
    <row r="131" spans="1:60" x14ac:dyDescent="0.25">
      <c r="A131" s="16"/>
      <c r="B131" s="2"/>
      <c r="C131" s="17">
        <f t="shared" si="12"/>
        <v>4.1666666666666664E-2</v>
      </c>
      <c r="D131" s="16"/>
      <c r="E131" s="16"/>
      <c r="G131" s="1"/>
      <c r="H131" s="1"/>
      <c r="I131" s="1"/>
      <c r="J131" s="1"/>
      <c r="K131" s="33"/>
      <c r="L131" s="22"/>
      <c r="M131" s="1"/>
      <c r="N131" s="1"/>
      <c r="O131" s="1"/>
      <c r="P131" s="1"/>
      <c r="Q131" s="1"/>
      <c r="R131" s="1"/>
      <c r="S131" s="1"/>
      <c r="BB131" s="9" t="str">
        <f t="shared" si="9"/>
        <v>No</v>
      </c>
      <c r="BC131" s="9" t="str">
        <f>IF(EFB!$N131=Table1[[#This Row],[ProgramTitle]],"Yes","No")</f>
        <v>Yes</v>
      </c>
      <c r="BD131" s="9" t="str">
        <f>IF(EFB!$S131=Table1[[#This Row],[SeriesEpisodeTitle]],"Yes","No")</f>
        <v>Yes</v>
      </c>
      <c r="BE131" s="11">
        <f t="shared" si="10"/>
        <v>4.1666666666666664E-2</v>
      </c>
      <c r="BF131" s="11">
        <f t="shared" si="11"/>
        <v>0</v>
      </c>
      <c r="BH131" s="21">
        <f>Table1[[#This Row],[StartTime]]+$BG$2</f>
        <v>4.1666666666666664E-2</v>
      </c>
    </row>
    <row r="132" spans="1:60" x14ac:dyDescent="0.25">
      <c r="A132" s="16"/>
      <c r="B132" s="2"/>
      <c r="C132" s="17">
        <f t="shared" si="12"/>
        <v>4.1666666666666664E-2</v>
      </c>
      <c r="D132" s="16"/>
      <c r="E132" s="16"/>
      <c r="G132" s="1"/>
      <c r="H132" s="1"/>
      <c r="I132" s="1"/>
      <c r="J132" s="1"/>
      <c r="K132" s="33"/>
      <c r="L132" s="22"/>
      <c r="M132" s="1"/>
      <c r="N132" s="1"/>
      <c r="O132" s="1"/>
      <c r="P132" s="1"/>
      <c r="Q132" s="1"/>
      <c r="R132" s="1"/>
      <c r="S132" s="1"/>
      <c r="BB132" s="9" t="str">
        <f t="shared" si="9"/>
        <v>No</v>
      </c>
      <c r="BC132" s="9" t="str">
        <f>IF(EFB!$N132=Table1[[#This Row],[ProgramTitle]],"Yes","No")</f>
        <v>Yes</v>
      </c>
      <c r="BD132" s="9" t="str">
        <f>IF(EFB!$S132=Table1[[#This Row],[SeriesEpisodeTitle]],"Yes","No")</f>
        <v>Yes</v>
      </c>
      <c r="BE132" s="11">
        <f t="shared" si="10"/>
        <v>4.1666666666666664E-2</v>
      </c>
      <c r="BF132" s="11">
        <f t="shared" si="11"/>
        <v>0</v>
      </c>
      <c r="BH132" s="21">
        <f>Table1[[#This Row],[StartTime]]+$BG$2</f>
        <v>4.1666666666666664E-2</v>
      </c>
    </row>
    <row r="133" spans="1:60" x14ac:dyDescent="0.25">
      <c r="A133" s="16"/>
      <c r="B133" s="2"/>
      <c r="C133" s="17">
        <f t="shared" si="12"/>
        <v>4.1666666666666664E-2</v>
      </c>
      <c r="D133" s="16"/>
      <c r="E133" s="16"/>
      <c r="G133" s="1"/>
      <c r="H133" s="1"/>
      <c r="I133" s="1"/>
      <c r="J133" s="1"/>
      <c r="K133" s="33"/>
      <c r="L133" s="22"/>
      <c r="M133" s="1"/>
      <c r="N133" s="1"/>
      <c r="O133" s="1"/>
      <c r="P133" s="1"/>
      <c r="Q133" s="1"/>
      <c r="R133" s="1"/>
      <c r="S133" s="1"/>
      <c r="BB133" s="9" t="str">
        <f t="shared" si="9"/>
        <v>No</v>
      </c>
      <c r="BC133" s="9" t="str">
        <f>IF(EFB!$N133=Table1[[#This Row],[ProgramTitle]],"Yes","No")</f>
        <v>Yes</v>
      </c>
      <c r="BD133" s="9" t="str">
        <f>IF(EFB!$S133=Table1[[#This Row],[SeriesEpisodeTitle]],"Yes","No")</f>
        <v>Yes</v>
      </c>
      <c r="BE133" s="11">
        <f t="shared" si="10"/>
        <v>4.1666666666666664E-2</v>
      </c>
      <c r="BF133" s="11">
        <f t="shared" si="11"/>
        <v>0</v>
      </c>
      <c r="BH133" s="21">
        <f>Table1[[#This Row],[StartTime]]+$BG$2</f>
        <v>4.1666666666666664E-2</v>
      </c>
    </row>
    <row r="134" spans="1:60" x14ac:dyDescent="0.25">
      <c r="A134" s="16"/>
      <c r="B134" s="2"/>
      <c r="C134" s="17">
        <f t="shared" si="12"/>
        <v>4.1666666666666664E-2</v>
      </c>
      <c r="D134" s="16"/>
      <c r="E134" s="16"/>
      <c r="G134" s="1"/>
      <c r="H134" s="1"/>
      <c r="I134" s="1"/>
      <c r="J134" s="1"/>
      <c r="K134" s="33"/>
      <c r="L134" s="22"/>
      <c r="M134" s="1"/>
      <c r="N134" s="1"/>
      <c r="O134" s="1"/>
      <c r="P134" s="1"/>
      <c r="Q134" s="1"/>
      <c r="R134" s="1"/>
      <c r="S134" s="1"/>
      <c r="BB134" s="9" t="str">
        <f t="shared" si="9"/>
        <v>No</v>
      </c>
      <c r="BC134" s="9" t="str">
        <f>IF(EFB!$N134=Table1[[#This Row],[ProgramTitle]],"Yes","No")</f>
        <v>Yes</v>
      </c>
      <c r="BD134" s="9" t="str">
        <f>IF(EFB!$S134=Table1[[#This Row],[SeriesEpisodeTitle]],"Yes","No")</f>
        <v>Yes</v>
      </c>
      <c r="BE134" s="11">
        <f t="shared" si="10"/>
        <v>4.1666666666666664E-2</v>
      </c>
      <c r="BF134" s="11">
        <f t="shared" si="11"/>
        <v>0</v>
      </c>
      <c r="BH134" s="21">
        <f>Table1[[#This Row],[StartTime]]+$BG$2</f>
        <v>4.1666666666666664E-2</v>
      </c>
    </row>
    <row r="135" spans="1:60" x14ac:dyDescent="0.25">
      <c r="A135" s="16"/>
      <c r="B135" s="2"/>
      <c r="C135" s="17">
        <f t="shared" si="12"/>
        <v>4.1666666666666664E-2</v>
      </c>
      <c r="D135" s="16"/>
      <c r="E135" s="16"/>
      <c r="G135" s="1"/>
      <c r="H135" s="1"/>
      <c r="I135" s="1"/>
      <c r="J135" s="1"/>
      <c r="K135" s="33"/>
      <c r="L135" s="22"/>
      <c r="M135" s="1"/>
      <c r="N135" s="1"/>
      <c r="O135" s="1"/>
      <c r="P135" s="1"/>
      <c r="Q135" s="1"/>
      <c r="R135" s="1"/>
      <c r="S135" s="1"/>
      <c r="BB135" s="9" t="str">
        <f t="shared" si="9"/>
        <v>No</v>
      </c>
      <c r="BC135" s="9" t="str">
        <f>IF(EFB!$N135=Table1[[#This Row],[ProgramTitle]],"Yes","No")</f>
        <v>Yes</v>
      </c>
      <c r="BD135" s="9" t="str">
        <f>IF(EFB!$S135=Table1[[#This Row],[SeriesEpisodeTitle]],"Yes","No")</f>
        <v>Yes</v>
      </c>
      <c r="BE135" s="11">
        <f t="shared" si="10"/>
        <v>4.1666666666666664E-2</v>
      </c>
      <c r="BF135" s="11">
        <f t="shared" si="11"/>
        <v>0</v>
      </c>
      <c r="BH135" s="21">
        <f>Table1[[#This Row],[StartTime]]+$BG$2</f>
        <v>4.1666666666666664E-2</v>
      </c>
    </row>
    <row r="136" spans="1:60" x14ac:dyDescent="0.25">
      <c r="A136" s="16"/>
      <c r="B136" s="2"/>
      <c r="C136" s="17">
        <f t="shared" si="12"/>
        <v>4.1666666666666664E-2</v>
      </c>
      <c r="D136" s="16"/>
      <c r="E136" s="16"/>
      <c r="G136" s="1"/>
      <c r="H136" s="1"/>
      <c r="I136" s="1"/>
      <c r="J136" s="1"/>
      <c r="K136" s="33"/>
      <c r="L136" s="22"/>
      <c r="M136" s="1"/>
      <c r="N136" s="1"/>
      <c r="O136" s="1"/>
      <c r="P136" s="1"/>
      <c r="Q136" s="1"/>
      <c r="R136" s="1"/>
      <c r="S136" s="1"/>
      <c r="BB136" s="9" t="str">
        <f t="shared" si="9"/>
        <v>No</v>
      </c>
      <c r="BC136" s="9" t="str">
        <f>IF(EFB!$N136=Table1[[#This Row],[ProgramTitle]],"Yes","No")</f>
        <v>Yes</v>
      </c>
      <c r="BD136" s="9" t="str">
        <f>IF(EFB!$S136=Table1[[#This Row],[SeriesEpisodeTitle]],"Yes","No")</f>
        <v>Yes</v>
      </c>
      <c r="BE136" s="11">
        <f t="shared" si="10"/>
        <v>4.1666666666666664E-2</v>
      </c>
      <c r="BF136" s="11">
        <f t="shared" si="11"/>
        <v>0</v>
      </c>
      <c r="BH136" s="21">
        <f>Table1[[#This Row],[StartTime]]+$BG$2</f>
        <v>4.1666666666666664E-2</v>
      </c>
    </row>
    <row r="137" spans="1:60" x14ac:dyDescent="0.25">
      <c r="A137" s="16"/>
      <c r="B137" s="2"/>
      <c r="C137" s="17">
        <f t="shared" si="12"/>
        <v>4.1666666666666664E-2</v>
      </c>
      <c r="D137" s="16"/>
      <c r="E137" s="16"/>
      <c r="G137" s="1"/>
      <c r="H137" s="1"/>
      <c r="I137" s="1"/>
      <c r="J137" s="1"/>
      <c r="K137" s="33"/>
      <c r="L137" s="22"/>
      <c r="M137" s="1"/>
      <c r="N137" s="1"/>
      <c r="O137" s="1"/>
      <c r="P137" s="1"/>
      <c r="Q137" s="1"/>
      <c r="R137" s="1"/>
      <c r="S137" s="1"/>
      <c r="BB137" s="9" t="str">
        <f t="shared" si="9"/>
        <v>No</v>
      </c>
      <c r="BC137" s="9" t="str">
        <f>IF(EFB!$N137=Table1[[#This Row],[ProgramTitle]],"Yes","No")</f>
        <v>Yes</v>
      </c>
      <c r="BD137" s="9" t="str">
        <f>IF(EFB!$S137=Table1[[#This Row],[SeriesEpisodeTitle]],"Yes","No")</f>
        <v>Yes</v>
      </c>
      <c r="BE137" s="11">
        <f t="shared" si="10"/>
        <v>4.1666666666666664E-2</v>
      </c>
      <c r="BF137" s="11">
        <f t="shared" si="11"/>
        <v>0</v>
      </c>
      <c r="BH137" s="21">
        <f>Table1[[#This Row],[StartTime]]+$BG$2</f>
        <v>4.1666666666666664E-2</v>
      </c>
    </row>
    <row r="138" spans="1:60" x14ac:dyDescent="0.25">
      <c r="A138" s="16"/>
      <c r="B138" s="2"/>
      <c r="C138" s="17">
        <f t="shared" si="12"/>
        <v>4.1666666666666664E-2</v>
      </c>
      <c r="D138" s="16"/>
      <c r="E138" s="16"/>
      <c r="G138" s="1"/>
      <c r="H138" s="1"/>
      <c r="I138" s="1"/>
      <c r="J138" s="1"/>
      <c r="K138" s="33"/>
      <c r="L138" s="22"/>
      <c r="M138" s="1"/>
      <c r="N138" s="1"/>
      <c r="O138" s="1"/>
      <c r="P138" s="1"/>
      <c r="Q138" s="1"/>
      <c r="R138" s="1"/>
      <c r="S138" s="1"/>
      <c r="BB138" s="9" t="str">
        <f t="shared" si="9"/>
        <v>No</v>
      </c>
      <c r="BC138" s="9" t="str">
        <f>IF(EFB!$N138=Table1[[#This Row],[ProgramTitle]],"Yes","No")</f>
        <v>Yes</v>
      </c>
      <c r="BD138" s="9" t="str">
        <f>IF(EFB!$S138=Table1[[#This Row],[SeriesEpisodeTitle]],"Yes","No")</f>
        <v>Yes</v>
      </c>
      <c r="BE138" s="11">
        <f t="shared" si="10"/>
        <v>4.1666666666666664E-2</v>
      </c>
      <c r="BF138" s="11">
        <f t="shared" si="11"/>
        <v>0</v>
      </c>
      <c r="BH138" s="21">
        <f>Table1[[#This Row],[StartTime]]+$BG$2</f>
        <v>4.1666666666666664E-2</v>
      </c>
    </row>
    <row r="139" spans="1:60" x14ac:dyDescent="0.25">
      <c r="A139" s="16"/>
      <c r="B139" s="2"/>
      <c r="C139" s="17">
        <f t="shared" si="12"/>
        <v>4.1666666666666664E-2</v>
      </c>
      <c r="D139" s="16"/>
      <c r="E139" s="16"/>
      <c r="G139" s="1"/>
      <c r="H139" s="1"/>
      <c r="I139" s="1"/>
      <c r="J139" s="1"/>
      <c r="K139" s="33"/>
      <c r="L139" s="22"/>
      <c r="M139" s="1"/>
      <c r="N139" s="1"/>
      <c r="O139" s="1"/>
      <c r="P139" s="1"/>
      <c r="Q139" s="1"/>
      <c r="R139" s="1"/>
      <c r="S139" s="1"/>
      <c r="BB139" s="9" t="str">
        <f t="shared" si="9"/>
        <v>No</v>
      </c>
      <c r="BC139" s="9" t="str">
        <f>IF(EFB!$N139=Table1[[#This Row],[ProgramTitle]],"Yes","No")</f>
        <v>Yes</v>
      </c>
      <c r="BD139" s="9" t="str">
        <f>IF(EFB!$S139=Table1[[#This Row],[SeriesEpisodeTitle]],"Yes","No")</f>
        <v>Yes</v>
      </c>
      <c r="BE139" s="11">
        <f t="shared" si="10"/>
        <v>4.1666666666666664E-2</v>
      </c>
      <c r="BF139" s="11">
        <f t="shared" si="11"/>
        <v>0</v>
      </c>
      <c r="BH139" s="21">
        <f>Table1[[#This Row],[StartTime]]+$BG$2</f>
        <v>4.1666666666666664E-2</v>
      </c>
    </row>
    <row r="140" spans="1:60" x14ac:dyDescent="0.25">
      <c r="A140" s="16"/>
      <c r="B140" s="2"/>
      <c r="C140" s="17">
        <f t="shared" si="12"/>
        <v>4.1666666666666664E-2</v>
      </c>
      <c r="D140" s="16"/>
      <c r="E140" s="16"/>
      <c r="G140" s="1"/>
      <c r="H140" s="1"/>
      <c r="I140" s="1"/>
      <c r="J140" s="1"/>
      <c r="K140" s="33"/>
      <c r="L140" s="22"/>
      <c r="M140" s="1"/>
      <c r="N140" s="1"/>
      <c r="O140" s="1"/>
      <c r="P140" s="1"/>
      <c r="Q140" s="1"/>
      <c r="R140" s="1"/>
      <c r="S140" s="1"/>
      <c r="BB140" s="9" t="str">
        <f t="shared" si="9"/>
        <v>No</v>
      </c>
      <c r="BC140" s="9" t="str">
        <f>IF(EFB!$N140=Table1[[#This Row],[ProgramTitle]],"Yes","No")</f>
        <v>Yes</v>
      </c>
      <c r="BD140" s="9" t="str">
        <f>IF(EFB!$S140=Table1[[#This Row],[SeriesEpisodeTitle]],"Yes","No")</f>
        <v>Yes</v>
      </c>
      <c r="BE140" s="11">
        <f t="shared" si="10"/>
        <v>4.1666666666666664E-2</v>
      </c>
      <c r="BF140" s="11">
        <f t="shared" si="11"/>
        <v>0</v>
      </c>
      <c r="BH140" s="21">
        <f>Table1[[#This Row],[StartTime]]+$BG$2</f>
        <v>4.1666666666666664E-2</v>
      </c>
    </row>
    <row r="141" spans="1:60" x14ac:dyDescent="0.25">
      <c r="A141" s="16"/>
      <c r="B141" s="2"/>
      <c r="C141" s="17">
        <f t="shared" si="12"/>
        <v>4.1666666666666664E-2</v>
      </c>
      <c r="D141" s="16"/>
      <c r="E141" s="16"/>
      <c r="G141" s="1"/>
      <c r="H141" s="1"/>
      <c r="I141" s="1"/>
      <c r="J141" s="1"/>
      <c r="K141" s="33"/>
      <c r="L141" s="22"/>
      <c r="M141" s="1"/>
      <c r="N141" s="1"/>
      <c r="O141" s="1"/>
      <c r="P141" s="1"/>
      <c r="Q141" s="1"/>
      <c r="R141" s="1"/>
      <c r="S141" s="1"/>
      <c r="BB141" s="9" t="str">
        <f t="shared" si="9"/>
        <v>No</v>
      </c>
      <c r="BC141" s="9" t="str">
        <f>IF(EFB!$N141=Table1[[#This Row],[ProgramTitle]],"Yes","No")</f>
        <v>Yes</v>
      </c>
      <c r="BD141" s="9" t="str">
        <f>IF(EFB!$S141=Table1[[#This Row],[SeriesEpisodeTitle]],"Yes","No")</f>
        <v>Yes</v>
      </c>
      <c r="BE141" s="11">
        <f t="shared" si="10"/>
        <v>4.1666666666666664E-2</v>
      </c>
      <c r="BF141" s="11">
        <f t="shared" si="11"/>
        <v>0</v>
      </c>
      <c r="BH141" s="21">
        <f>Table1[[#This Row],[StartTime]]+$BG$2</f>
        <v>4.1666666666666664E-2</v>
      </c>
    </row>
    <row r="142" spans="1:60" x14ac:dyDescent="0.25">
      <c r="A142" s="16"/>
      <c r="B142" s="2"/>
      <c r="C142" s="17">
        <f t="shared" si="12"/>
        <v>4.1666666666666664E-2</v>
      </c>
      <c r="D142" s="16"/>
      <c r="E142" s="16"/>
      <c r="G142" s="1"/>
      <c r="H142" s="1"/>
      <c r="I142" s="1"/>
      <c r="J142" s="1"/>
      <c r="K142" s="33"/>
      <c r="L142" s="22"/>
      <c r="M142" s="1"/>
      <c r="N142" s="1"/>
      <c r="O142" s="1"/>
      <c r="P142" s="1"/>
      <c r="Q142" s="1"/>
      <c r="R142" s="1"/>
      <c r="S142" s="1"/>
      <c r="BB142" s="9" t="str">
        <f t="shared" si="9"/>
        <v>No</v>
      </c>
      <c r="BC142" s="9" t="str">
        <f>IF(EFB!$N142=Table1[[#This Row],[ProgramTitle]],"Yes","No")</f>
        <v>Yes</v>
      </c>
      <c r="BD142" s="9" t="str">
        <f>IF(EFB!$S142=Table1[[#This Row],[SeriesEpisodeTitle]],"Yes","No")</f>
        <v>Yes</v>
      </c>
      <c r="BE142" s="11">
        <f t="shared" si="10"/>
        <v>4.1666666666666664E-2</v>
      </c>
      <c r="BF142" s="11">
        <f t="shared" si="11"/>
        <v>0</v>
      </c>
      <c r="BH142" s="21">
        <f>Table1[[#This Row],[StartTime]]+$BG$2</f>
        <v>4.1666666666666664E-2</v>
      </c>
    </row>
    <row r="143" spans="1:60" x14ac:dyDescent="0.25">
      <c r="A143" s="16"/>
      <c r="B143" s="2"/>
      <c r="C143" s="17">
        <f t="shared" si="12"/>
        <v>4.1666666666666664E-2</v>
      </c>
      <c r="D143" s="16"/>
      <c r="E143" s="16"/>
      <c r="G143" s="1"/>
      <c r="H143" s="1"/>
      <c r="I143" s="1"/>
      <c r="J143" s="1"/>
      <c r="K143" s="33"/>
      <c r="L143" s="22"/>
      <c r="M143" s="1"/>
      <c r="N143" s="1"/>
      <c r="O143" s="1"/>
      <c r="P143" s="1"/>
      <c r="Q143" s="1"/>
      <c r="R143" s="1"/>
      <c r="S143" s="1"/>
      <c r="BB143" s="9" t="str">
        <f t="shared" si="9"/>
        <v>No</v>
      </c>
      <c r="BC143" s="9" t="str">
        <f>IF(EFB!$N143=Table1[[#This Row],[ProgramTitle]],"Yes","No")</f>
        <v>Yes</v>
      </c>
      <c r="BD143" s="9" t="str">
        <f>IF(EFB!$S143=Table1[[#This Row],[SeriesEpisodeTitle]],"Yes","No")</f>
        <v>Yes</v>
      </c>
      <c r="BE143" s="11">
        <f t="shared" si="10"/>
        <v>4.1666666666666664E-2</v>
      </c>
      <c r="BF143" s="11">
        <f t="shared" si="11"/>
        <v>0</v>
      </c>
      <c r="BH143" s="21">
        <f>Table1[[#This Row],[StartTime]]+$BG$2</f>
        <v>4.1666666666666664E-2</v>
      </c>
    </row>
    <row r="144" spans="1:60" x14ac:dyDescent="0.25">
      <c r="A144" s="16"/>
      <c r="B144" s="2"/>
      <c r="C144" s="17">
        <f t="shared" si="12"/>
        <v>4.1666666666666664E-2</v>
      </c>
      <c r="D144" s="16"/>
      <c r="E144" s="16"/>
      <c r="G144" s="1"/>
      <c r="H144" s="1"/>
      <c r="I144" s="1"/>
      <c r="J144" s="1"/>
      <c r="K144" s="33"/>
      <c r="L144" s="22"/>
      <c r="M144" s="1"/>
      <c r="N144" s="1"/>
      <c r="O144" s="1"/>
      <c r="P144" s="1"/>
      <c r="Q144" s="1"/>
      <c r="R144" s="1"/>
      <c r="S144" s="1"/>
      <c r="BB144" s="9" t="str">
        <f t="shared" si="9"/>
        <v>No</v>
      </c>
      <c r="BC144" s="9" t="str">
        <f>IF(EFB!$N144=Table1[[#This Row],[ProgramTitle]],"Yes","No")</f>
        <v>Yes</v>
      </c>
      <c r="BD144" s="9" t="str">
        <f>IF(EFB!$S144=Table1[[#This Row],[SeriesEpisodeTitle]],"Yes","No")</f>
        <v>Yes</v>
      </c>
      <c r="BE144" s="11">
        <f t="shared" si="10"/>
        <v>4.1666666666666664E-2</v>
      </c>
      <c r="BF144" s="11">
        <f t="shared" si="11"/>
        <v>0</v>
      </c>
      <c r="BH144" s="21">
        <f>Table1[[#This Row],[StartTime]]+$BG$2</f>
        <v>4.1666666666666664E-2</v>
      </c>
    </row>
    <row r="145" spans="1:60" x14ac:dyDescent="0.25">
      <c r="A145" s="16"/>
      <c r="B145" s="2"/>
      <c r="C145" s="17">
        <f t="shared" si="12"/>
        <v>4.1666666666666664E-2</v>
      </c>
      <c r="D145" s="16"/>
      <c r="E145" s="16"/>
      <c r="G145" s="1"/>
      <c r="H145" s="1"/>
      <c r="I145" s="1"/>
      <c r="J145" s="1"/>
      <c r="K145" s="33"/>
      <c r="L145" s="22"/>
      <c r="M145" s="1"/>
      <c r="N145" s="1"/>
      <c r="O145" s="1"/>
      <c r="P145" s="1"/>
      <c r="Q145" s="1"/>
      <c r="R145" s="1"/>
      <c r="S145" s="1"/>
      <c r="BB145" s="9" t="str">
        <f t="shared" si="9"/>
        <v>No</v>
      </c>
      <c r="BC145" s="9" t="str">
        <f>IF(EFB!$N145=Table1[[#This Row],[ProgramTitle]],"Yes","No")</f>
        <v>Yes</v>
      </c>
      <c r="BD145" s="9" t="str">
        <f>IF(EFB!$S145=Table1[[#This Row],[SeriesEpisodeTitle]],"Yes","No")</f>
        <v>Yes</v>
      </c>
      <c r="BE145" s="11">
        <f t="shared" si="10"/>
        <v>4.1666666666666664E-2</v>
      </c>
      <c r="BF145" s="11">
        <f t="shared" si="11"/>
        <v>0</v>
      </c>
      <c r="BH145" s="21">
        <f>Table1[[#This Row],[StartTime]]+$BG$2</f>
        <v>4.1666666666666664E-2</v>
      </c>
    </row>
    <row r="146" spans="1:60" x14ac:dyDescent="0.25">
      <c r="A146" s="16"/>
      <c r="B146" s="2"/>
      <c r="C146" s="17">
        <f t="shared" si="12"/>
        <v>4.1666666666666664E-2</v>
      </c>
      <c r="D146" s="16"/>
      <c r="E146" s="16"/>
      <c r="G146" s="1"/>
      <c r="H146" s="1"/>
      <c r="I146" s="1"/>
      <c r="J146" s="1"/>
      <c r="K146" s="33"/>
      <c r="L146" s="22"/>
      <c r="M146" s="1"/>
      <c r="N146" s="1"/>
      <c r="O146" s="1"/>
      <c r="P146" s="1"/>
      <c r="Q146" s="1"/>
      <c r="R146" s="1"/>
      <c r="S146" s="1"/>
      <c r="BB146" s="9" t="str">
        <f t="shared" si="9"/>
        <v>No</v>
      </c>
      <c r="BC146" s="9" t="str">
        <f>IF(EFB!$N146=Table1[[#This Row],[ProgramTitle]],"Yes","No")</f>
        <v>Yes</v>
      </c>
      <c r="BD146" s="9" t="str">
        <f>IF(EFB!$S146=Table1[[#This Row],[SeriesEpisodeTitle]],"Yes","No")</f>
        <v>Yes</v>
      </c>
      <c r="BE146" s="11">
        <f t="shared" si="10"/>
        <v>4.1666666666666664E-2</v>
      </c>
      <c r="BF146" s="11">
        <f t="shared" si="11"/>
        <v>0</v>
      </c>
      <c r="BH146" s="21">
        <f>Table1[[#This Row],[StartTime]]+$BG$2</f>
        <v>4.1666666666666664E-2</v>
      </c>
    </row>
    <row r="147" spans="1:60" x14ac:dyDescent="0.25">
      <c r="A147" s="16"/>
      <c r="B147" s="2"/>
      <c r="C147" s="17">
        <f t="shared" si="12"/>
        <v>4.1666666666666664E-2</v>
      </c>
      <c r="D147" s="16"/>
      <c r="E147" s="16"/>
      <c r="G147" s="1"/>
      <c r="H147" s="1"/>
      <c r="I147" s="1"/>
      <c r="J147" s="1"/>
      <c r="K147" s="33"/>
      <c r="L147" s="22"/>
      <c r="M147" s="1"/>
      <c r="N147" s="1"/>
      <c r="O147" s="1"/>
      <c r="P147" s="1"/>
      <c r="Q147" s="1"/>
      <c r="R147" s="1"/>
      <c r="S147" s="1"/>
      <c r="BB147" s="9" t="str">
        <f t="shared" si="9"/>
        <v>No</v>
      </c>
      <c r="BC147" s="9" t="str">
        <f>IF(EFB!$N147=Table1[[#This Row],[ProgramTitle]],"Yes","No")</f>
        <v>Yes</v>
      </c>
      <c r="BD147" s="9" t="str">
        <f>IF(EFB!$S147=Table1[[#This Row],[SeriesEpisodeTitle]],"Yes","No")</f>
        <v>Yes</v>
      </c>
      <c r="BE147" s="11">
        <f t="shared" si="10"/>
        <v>4.1666666666666664E-2</v>
      </c>
      <c r="BF147" s="11">
        <f t="shared" si="11"/>
        <v>0</v>
      </c>
      <c r="BH147" s="21">
        <f>Table1[[#This Row],[StartTime]]+$BG$2</f>
        <v>4.1666666666666664E-2</v>
      </c>
    </row>
    <row r="148" spans="1:60" x14ac:dyDescent="0.25">
      <c r="A148" s="16"/>
      <c r="B148" s="2"/>
      <c r="C148" s="17">
        <f t="shared" si="12"/>
        <v>4.1666666666666664E-2</v>
      </c>
      <c r="D148" s="16"/>
      <c r="E148" s="16"/>
      <c r="G148" s="1"/>
      <c r="H148" s="1"/>
      <c r="I148" s="1"/>
      <c r="J148" s="1"/>
      <c r="K148" s="33"/>
      <c r="L148" s="22"/>
      <c r="M148" s="1"/>
      <c r="N148" s="1"/>
      <c r="O148" s="1"/>
      <c r="P148" s="1"/>
      <c r="Q148" s="1"/>
      <c r="R148" s="1"/>
      <c r="S148" s="1"/>
      <c r="BB148" s="9" t="str">
        <f t="shared" si="9"/>
        <v>No</v>
      </c>
      <c r="BC148" s="9" t="str">
        <f>IF(EFB!$N148=Table1[[#This Row],[ProgramTitle]],"Yes","No")</f>
        <v>Yes</v>
      </c>
      <c r="BD148" s="9" t="str">
        <f>IF(EFB!$S148=Table1[[#This Row],[SeriesEpisodeTitle]],"Yes","No")</f>
        <v>Yes</v>
      </c>
      <c r="BE148" s="11">
        <f t="shared" si="10"/>
        <v>4.1666666666666664E-2</v>
      </c>
      <c r="BF148" s="11">
        <f t="shared" si="11"/>
        <v>0</v>
      </c>
      <c r="BH148" s="21">
        <f>Table1[[#This Row],[StartTime]]+$BG$2</f>
        <v>4.1666666666666664E-2</v>
      </c>
    </row>
    <row r="149" spans="1:60" x14ac:dyDescent="0.25">
      <c r="A149" s="16"/>
      <c r="B149" s="2"/>
      <c r="C149" s="17">
        <f t="shared" si="12"/>
        <v>4.1666666666666664E-2</v>
      </c>
      <c r="D149" s="16"/>
      <c r="E149" s="16"/>
      <c r="G149" s="1"/>
      <c r="H149" s="1"/>
      <c r="I149" s="1"/>
      <c r="J149" s="1"/>
      <c r="K149" s="33"/>
      <c r="L149" s="22"/>
      <c r="M149" s="1"/>
      <c r="N149" s="1"/>
      <c r="O149" s="1"/>
      <c r="P149" s="1"/>
      <c r="Q149" s="1"/>
      <c r="R149" s="1"/>
      <c r="S149" s="1"/>
      <c r="BB149" s="9" t="str">
        <f t="shared" si="9"/>
        <v>No</v>
      </c>
      <c r="BC149" s="9" t="str">
        <f>IF(EFB!$N149=Table1[[#This Row],[ProgramTitle]],"Yes","No")</f>
        <v>Yes</v>
      </c>
      <c r="BD149" s="9" t="str">
        <f>IF(EFB!$S149=Table1[[#This Row],[SeriesEpisodeTitle]],"Yes","No")</f>
        <v>Yes</v>
      </c>
      <c r="BE149" s="11">
        <f t="shared" si="10"/>
        <v>4.1666666666666664E-2</v>
      </c>
      <c r="BF149" s="11">
        <f t="shared" si="11"/>
        <v>0</v>
      </c>
      <c r="BH149" s="21">
        <f>Table1[[#This Row],[StartTime]]+$BG$2</f>
        <v>4.1666666666666664E-2</v>
      </c>
    </row>
    <row r="150" spans="1:60" x14ac:dyDescent="0.25">
      <c r="A150" s="16"/>
      <c r="B150" s="2"/>
      <c r="C150" s="17">
        <f t="shared" si="12"/>
        <v>4.1666666666666664E-2</v>
      </c>
      <c r="D150" s="16"/>
      <c r="E150" s="16"/>
      <c r="G150" s="1"/>
      <c r="H150" s="1"/>
      <c r="I150" s="1"/>
      <c r="J150" s="1"/>
      <c r="K150" s="33"/>
      <c r="L150" s="22"/>
      <c r="M150" s="1"/>
      <c r="N150" s="1"/>
      <c r="O150" s="1"/>
      <c r="P150" s="1"/>
      <c r="Q150" s="1"/>
      <c r="R150" s="1"/>
      <c r="S150" s="1"/>
      <c r="BB150" s="9" t="str">
        <f t="shared" si="9"/>
        <v>No</v>
      </c>
      <c r="BC150" s="9" t="str">
        <f>IF(EFB!$N150=Table1[[#This Row],[ProgramTitle]],"Yes","No")</f>
        <v>Yes</v>
      </c>
      <c r="BD150" s="9" t="str">
        <f>IF(EFB!$S150=Table1[[#This Row],[SeriesEpisodeTitle]],"Yes","No")</f>
        <v>Yes</v>
      </c>
      <c r="BE150" s="11">
        <f t="shared" si="10"/>
        <v>4.1666666666666664E-2</v>
      </c>
      <c r="BF150" s="11">
        <f t="shared" si="11"/>
        <v>0</v>
      </c>
      <c r="BH150" s="21">
        <f>Table1[[#This Row],[StartTime]]+$BG$2</f>
        <v>4.1666666666666664E-2</v>
      </c>
    </row>
    <row r="151" spans="1:60" x14ac:dyDescent="0.25">
      <c r="A151" s="16"/>
      <c r="B151" s="2"/>
      <c r="D151" s="16"/>
      <c r="E151" s="16"/>
      <c r="G151" s="1"/>
      <c r="H151" s="1"/>
      <c r="I151" s="1"/>
      <c r="J151" s="1"/>
      <c r="K151" s="33"/>
      <c r="L151" s="22"/>
      <c r="M151" s="1"/>
      <c r="N151" s="1"/>
      <c r="O151" s="1"/>
      <c r="P151" s="1"/>
      <c r="Q151" s="1"/>
      <c r="R151" s="1"/>
      <c r="S151" s="1"/>
      <c r="BB151" s="9" t="str">
        <f t="shared" si="9"/>
        <v>Yes</v>
      </c>
      <c r="BC151" s="9" t="str">
        <f>IF(EFB!$N151=Table1[[#This Row],[ProgramTitle]],"Yes","No")</f>
        <v>Yes</v>
      </c>
      <c r="BD151" s="9" t="str">
        <f>IF(EFB!$S151=Table1[[#This Row],[SeriesEpisodeTitle]],"Yes","No")</f>
        <v>Yes</v>
      </c>
      <c r="BE151" s="11">
        <f t="shared" si="10"/>
        <v>0</v>
      </c>
      <c r="BF151" s="11">
        <f t="shared" si="11"/>
        <v>0</v>
      </c>
      <c r="BH151" s="21">
        <f>Table1[[#This Row],[StartTime]]+$BG$2</f>
        <v>4.1666666666666664E-2</v>
      </c>
    </row>
    <row r="152" spans="1:60" x14ac:dyDescent="0.25">
      <c r="A152" s="16"/>
      <c r="B152" s="2"/>
      <c r="D152" s="16"/>
      <c r="E152" s="16"/>
      <c r="G152" s="1"/>
      <c r="H152" s="1"/>
      <c r="I152" s="1"/>
      <c r="J152" s="1"/>
      <c r="K152" s="33"/>
      <c r="L152" s="22"/>
      <c r="M152" s="1"/>
      <c r="N152" s="1"/>
      <c r="O152" s="1"/>
      <c r="P152" s="1"/>
      <c r="Q152" s="1"/>
      <c r="R152" s="1"/>
      <c r="S152" s="1"/>
      <c r="BB152" s="9" t="str">
        <f t="shared" si="9"/>
        <v>Yes</v>
      </c>
      <c r="BC152" s="9" t="str">
        <f>IF(EFB!$N152=Table1[[#This Row],[ProgramTitle]],"Yes","No")</f>
        <v>Yes</v>
      </c>
      <c r="BD152" s="9" t="str">
        <f>IF(EFB!$S152=Table1[[#This Row],[SeriesEpisodeTitle]],"Yes","No")</f>
        <v>Yes</v>
      </c>
      <c r="BE152" s="11">
        <f t="shared" si="10"/>
        <v>0</v>
      </c>
      <c r="BF152" s="11">
        <f t="shared" si="11"/>
        <v>0</v>
      </c>
      <c r="BH152" s="21">
        <f>Table1[[#This Row],[StartTime]]+$BG$2</f>
        <v>4.1666666666666664E-2</v>
      </c>
    </row>
    <row r="153" spans="1:60" x14ac:dyDescent="0.25">
      <c r="A153" s="16"/>
      <c r="B153" s="2"/>
      <c r="D153" s="16"/>
      <c r="E153" s="16"/>
      <c r="G153" s="1"/>
      <c r="H153" s="1"/>
      <c r="I153" s="1"/>
      <c r="J153" s="1"/>
      <c r="K153" s="33"/>
      <c r="L153" s="22"/>
      <c r="M153" s="1"/>
      <c r="N153" s="1"/>
      <c r="O153" s="1"/>
      <c r="P153" s="1"/>
      <c r="Q153" s="1"/>
      <c r="R153" s="1"/>
      <c r="S153" s="1"/>
      <c r="BB153" s="9" t="str">
        <f t="shared" si="9"/>
        <v>Yes</v>
      </c>
      <c r="BC153" s="9" t="str">
        <f>IF(EFB!$N153=Table1[[#This Row],[ProgramTitle]],"Yes","No")</f>
        <v>Yes</v>
      </c>
      <c r="BD153" s="9" t="str">
        <f>IF(EFB!$S153=Table1[[#This Row],[SeriesEpisodeTitle]],"Yes","No")</f>
        <v>Yes</v>
      </c>
      <c r="BE153" s="11">
        <f t="shared" si="10"/>
        <v>0</v>
      </c>
      <c r="BF153" s="11">
        <f t="shared" si="11"/>
        <v>0</v>
      </c>
      <c r="BH153" s="21">
        <f>Table1[[#This Row],[StartTime]]+$BG$2</f>
        <v>4.1666666666666664E-2</v>
      </c>
    </row>
    <row r="154" spans="1:60" x14ac:dyDescent="0.25">
      <c r="A154" s="16"/>
      <c r="B154" s="2"/>
      <c r="D154" s="16"/>
      <c r="E154" s="16"/>
      <c r="G154" s="1"/>
      <c r="H154" s="1"/>
      <c r="I154" s="1"/>
      <c r="J154" s="1"/>
      <c r="K154" s="33"/>
      <c r="L154" s="22"/>
      <c r="M154" s="1"/>
      <c r="N154" s="1"/>
      <c r="O154" s="1"/>
      <c r="P154" s="1"/>
      <c r="Q154" s="1"/>
      <c r="R154" s="1"/>
      <c r="S154" s="1"/>
      <c r="BB154" s="9" t="str">
        <f t="shared" si="9"/>
        <v>Yes</v>
      </c>
      <c r="BC154" s="9" t="str">
        <f>IF(EFB!$N154=Table1[[#This Row],[ProgramTitle]],"Yes","No")</f>
        <v>Yes</v>
      </c>
      <c r="BD154" s="9" t="str">
        <f>IF(EFB!$S154=Table1[[#This Row],[SeriesEpisodeTitle]],"Yes","No")</f>
        <v>Yes</v>
      </c>
      <c r="BE154" s="11">
        <f t="shared" si="10"/>
        <v>0</v>
      </c>
      <c r="BF154" s="11">
        <f t="shared" si="11"/>
        <v>0</v>
      </c>
      <c r="BH154" s="21">
        <f>Table1[[#This Row],[StartTime]]+$BG$2</f>
        <v>4.1666666666666664E-2</v>
      </c>
    </row>
    <row r="155" spans="1:60" x14ac:dyDescent="0.25">
      <c r="A155" s="16"/>
      <c r="B155" s="2"/>
      <c r="D155" s="16"/>
      <c r="E155" s="16"/>
      <c r="G155" s="1"/>
      <c r="H155" s="1"/>
      <c r="I155" s="1"/>
      <c r="J155" s="1"/>
      <c r="K155" s="33"/>
      <c r="L155" s="22"/>
      <c r="M155" s="1"/>
      <c r="N155" s="1"/>
      <c r="O155" s="1"/>
      <c r="P155" s="1"/>
      <c r="Q155" s="1"/>
      <c r="R155" s="1"/>
      <c r="S155" s="1"/>
      <c r="BB155" s="9" t="str">
        <f t="shared" si="9"/>
        <v>Yes</v>
      </c>
      <c r="BC155" s="9" t="str">
        <f>IF(EFB!$N155=Table1[[#This Row],[ProgramTitle]],"Yes","No")</f>
        <v>Yes</v>
      </c>
      <c r="BD155" s="9" t="str">
        <f>IF(EFB!$S155=Table1[[#This Row],[SeriesEpisodeTitle]],"Yes","No")</f>
        <v>Yes</v>
      </c>
      <c r="BE155" s="11">
        <f t="shared" si="10"/>
        <v>0</v>
      </c>
      <c r="BF155" s="11">
        <f t="shared" si="11"/>
        <v>0</v>
      </c>
      <c r="BH155" s="21">
        <f>Table1[[#This Row],[StartTime]]+$BG$2</f>
        <v>4.1666666666666664E-2</v>
      </c>
    </row>
    <row r="156" spans="1:60" x14ac:dyDescent="0.25">
      <c r="A156" s="16"/>
      <c r="B156" s="2"/>
      <c r="D156" s="16"/>
      <c r="E156" s="16"/>
      <c r="G156" s="1"/>
      <c r="H156" s="1"/>
      <c r="I156" s="1"/>
      <c r="J156" s="1"/>
      <c r="K156" s="33"/>
      <c r="L156" s="22"/>
      <c r="M156" s="1"/>
      <c r="N156" s="1"/>
      <c r="O156" s="1"/>
      <c r="P156" s="1"/>
      <c r="Q156" s="1"/>
      <c r="R156" s="1"/>
      <c r="S156" s="1"/>
      <c r="BB156" s="9" t="str">
        <f t="shared" si="9"/>
        <v>Yes</v>
      </c>
      <c r="BC156" s="9" t="str">
        <f>IF(EFB!$N156=Table1[[#This Row],[ProgramTitle]],"Yes","No")</f>
        <v>Yes</v>
      </c>
      <c r="BD156" s="9" t="str">
        <f>IF(EFB!$S156=Table1[[#This Row],[SeriesEpisodeTitle]],"Yes","No")</f>
        <v>Yes</v>
      </c>
      <c r="BE156" s="11">
        <f t="shared" si="10"/>
        <v>0</v>
      </c>
      <c r="BF156" s="11">
        <f t="shared" si="11"/>
        <v>0</v>
      </c>
      <c r="BH156" s="21">
        <f>Table1[[#This Row],[StartTime]]+$BG$2</f>
        <v>4.1666666666666664E-2</v>
      </c>
    </row>
    <row r="157" spans="1:60" x14ac:dyDescent="0.25">
      <c r="A157" s="16"/>
      <c r="B157" s="2"/>
      <c r="D157" s="16"/>
      <c r="E157" s="16"/>
      <c r="G157" s="1"/>
      <c r="H157" s="1"/>
      <c r="I157" s="1"/>
      <c r="J157" s="1"/>
      <c r="K157" s="33"/>
      <c r="L157" s="22"/>
      <c r="M157" s="1"/>
      <c r="N157" s="1"/>
      <c r="O157" s="1"/>
      <c r="P157" s="1"/>
      <c r="Q157" s="1"/>
      <c r="R157" s="1"/>
      <c r="S157" s="1"/>
      <c r="BB157" s="9" t="str">
        <f t="shared" si="9"/>
        <v>Yes</v>
      </c>
      <c r="BC157" s="9" t="str">
        <f>IF(EFB!$N157=Table1[[#This Row],[ProgramTitle]],"Yes","No")</f>
        <v>Yes</v>
      </c>
      <c r="BD157" s="9" t="str">
        <f>IF(EFB!$S157=Table1[[#This Row],[SeriesEpisodeTitle]],"Yes","No")</f>
        <v>Yes</v>
      </c>
      <c r="BE157" s="11">
        <f t="shared" si="10"/>
        <v>0</v>
      </c>
      <c r="BF157" s="11">
        <f t="shared" si="11"/>
        <v>0</v>
      </c>
      <c r="BH157" s="21">
        <f>Table1[[#This Row],[StartTime]]+$BG$2</f>
        <v>4.1666666666666664E-2</v>
      </c>
    </row>
    <row r="158" spans="1:60" x14ac:dyDescent="0.25">
      <c r="A158" s="16"/>
      <c r="B158" s="2"/>
      <c r="D158" s="16"/>
      <c r="E158" s="16"/>
      <c r="G158" s="1"/>
      <c r="H158" s="1"/>
      <c r="I158" s="1"/>
      <c r="J158" s="1"/>
      <c r="K158" s="33"/>
      <c r="L158" s="22"/>
      <c r="M158" s="1"/>
      <c r="N158" s="1"/>
      <c r="O158" s="1"/>
      <c r="P158" s="1"/>
      <c r="Q158" s="1"/>
      <c r="R158" s="1"/>
      <c r="S158" s="1"/>
      <c r="BB158" s="9" t="str">
        <f t="shared" si="9"/>
        <v>Yes</v>
      </c>
      <c r="BC158" s="9" t="str">
        <f>IF(EFB!$N158=Table1[[#This Row],[ProgramTitle]],"Yes","No")</f>
        <v>Yes</v>
      </c>
      <c r="BD158" s="9" t="str">
        <f>IF(EFB!$S158=Table1[[#This Row],[SeriesEpisodeTitle]],"Yes","No")</f>
        <v>Yes</v>
      </c>
      <c r="BE158" s="11">
        <f t="shared" si="10"/>
        <v>0</v>
      </c>
      <c r="BF158" s="11">
        <f t="shared" si="11"/>
        <v>0</v>
      </c>
      <c r="BH158" s="21">
        <f>Table1[[#This Row],[StartTime]]+$BG$2</f>
        <v>4.1666666666666664E-2</v>
      </c>
    </row>
    <row r="159" spans="1:60" x14ac:dyDescent="0.25">
      <c r="A159" s="16"/>
      <c r="B159" s="2"/>
      <c r="D159" s="16"/>
      <c r="E159" s="16"/>
      <c r="G159" s="1"/>
      <c r="H159" s="1"/>
      <c r="I159" s="1"/>
      <c r="J159" s="1"/>
      <c r="K159" s="33"/>
      <c r="L159" s="22"/>
      <c r="M159" s="1"/>
      <c r="N159" s="1"/>
      <c r="O159" s="1"/>
      <c r="P159" s="1"/>
      <c r="Q159" s="1"/>
      <c r="R159" s="1"/>
      <c r="S159" s="1"/>
      <c r="BB159" s="9" t="str">
        <f t="shared" si="9"/>
        <v>Yes</v>
      </c>
      <c r="BC159" s="9" t="str">
        <f>IF(EFB!$N159=Table1[[#This Row],[ProgramTitle]],"Yes","No")</f>
        <v>Yes</v>
      </c>
      <c r="BD159" s="9" t="str">
        <f>IF(EFB!$S159=Table1[[#This Row],[SeriesEpisodeTitle]],"Yes","No")</f>
        <v>Yes</v>
      </c>
      <c r="BE159" s="11">
        <f t="shared" si="10"/>
        <v>0</v>
      </c>
      <c r="BF159" s="11">
        <f t="shared" si="11"/>
        <v>0</v>
      </c>
      <c r="BH159" s="21">
        <f>Table1[[#This Row],[StartTime]]+$BG$2</f>
        <v>4.1666666666666664E-2</v>
      </c>
    </row>
    <row r="160" spans="1:60" x14ac:dyDescent="0.25">
      <c r="A160" s="16"/>
      <c r="B160" s="2"/>
      <c r="D160" s="16"/>
      <c r="E160" s="16"/>
      <c r="G160" s="1"/>
      <c r="H160" s="1"/>
      <c r="I160" s="1"/>
      <c r="J160" s="1"/>
      <c r="K160" s="33"/>
      <c r="L160" s="22"/>
      <c r="M160" s="1"/>
      <c r="N160" s="1"/>
      <c r="O160" s="1"/>
      <c r="P160" s="1"/>
      <c r="Q160" s="1"/>
      <c r="R160" s="1"/>
      <c r="S160" s="1"/>
      <c r="BB160" s="9" t="str">
        <f t="shared" si="9"/>
        <v>Yes</v>
      </c>
      <c r="BC160" s="9" t="str">
        <f>IF(EFB!$N160=Table1[[#This Row],[ProgramTitle]],"Yes","No")</f>
        <v>Yes</v>
      </c>
      <c r="BD160" s="9" t="str">
        <f>IF(EFB!$S160=Table1[[#This Row],[SeriesEpisodeTitle]],"Yes","No")</f>
        <v>Yes</v>
      </c>
      <c r="BE160" s="11">
        <f t="shared" si="10"/>
        <v>0</v>
      </c>
      <c r="BF160" s="11">
        <f t="shared" si="11"/>
        <v>0</v>
      </c>
      <c r="BH160" s="21">
        <f>Table1[[#This Row],[StartTime]]+$BG$2</f>
        <v>4.1666666666666664E-2</v>
      </c>
    </row>
    <row r="161" spans="1:60" x14ac:dyDescent="0.25">
      <c r="A161" s="16"/>
      <c r="B161" s="2"/>
      <c r="D161" s="16"/>
      <c r="E161" s="16"/>
      <c r="G161" s="1"/>
      <c r="H161" s="1"/>
      <c r="I161" s="1"/>
      <c r="J161" s="1"/>
      <c r="K161" s="33"/>
      <c r="L161" s="22"/>
      <c r="M161" s="1"/>
      <c r="N161" s="1"/>
      <c r="O161" s="1"/>
      <c r="P161" s="1"/>
      <c r="Q161" s="1"/>
      <c r="R161" s="1"/>
      <c r="S161" s="1"/>
      <c r="BB161" s="9" t="str">
        <f t="shared" si="9"/>
        <v>Yes</v>
      </c>
      <c r="BC161" s="9" t="str">
        <f>IF(EFB!$N161=Table1[[#This Row],[ProgramTitle]],"Yes","No")</f>
        <v>Yes</v>
      </c>
      <c r="BD161" s="9" t="str">
        <f>IF(EFB!$S161=Table1[[#This Row],[SeriesEpisodeTitle]],"Yes","No")</f>
        <v>Yes</v>
      </c>
      <c r="BE161" s="11">
        <f t="shared" si="10"/>
        <v>0</v>
      </c>
      <c r="BF161" s="11">
        <f t="shared" si="11"/>
        <v>0</v>
      </c>
      <c r="BH161" s="21">
        <f>Table1[[#This Row],[StartTime]]+$BG$2</f>
        <v>4.1666666666666664E-2</v>
      </c>
    </row>
    <row r="162" spans="1:60" x14ac:dyDescent="0.25">
      <c r="A162" s="16"/>
      <c r="B162" s="2"/>
      <c r="D162" s="16"/>
      <c r="E162" s="16"/>
      <c r="G162" s="1"/>
      <c r="H162" s="1"/>
      <c r="I162" s="1"/>
      <c r="J162" s="1"/>
      <c r="K162" s="33"/>
      <c r="L162" s="22"/>
      <c r="M162" s="1"/>
      <c r="N162" s="1"/>
      <c r="O162" s="1"/>
      <c r="P162" s="1"/>
      <c r="Q162" s="1"/>
      <c r="R162" s="1"/>
      <c r="S162" s="1"/>
      <c r="BB162" s="9" t="str">
        <f t="shared" si="9"/>
        <v>Yes</v>
      </c>
      <c r="BC162" s="9" t="str">
        <f>IF(EFB!$N162=Table1[[#This Row],[ProgramTitle]],"Yes","No")</f>
        <v>Yes</v>
      </c>
      <c r="BD162" s="9" t="str">
        <f>IF(EFB!$S162=Table1[[#This Row],[SeriesEpisodeTitle]],"Yes","No")</f>
        <v>Yes</v>
      </c>
      <c r="BE162" s="11">
        <f t="shared" si="10"/>
        <v>0</v>
      </c>
      <c r="BF162" s="11">
        <f t="shared" si="11"/>
        <v>0</v>
      </c>
      <c r="BH162" s="21">
        <f>Table1[[#This Row],[StartTime]]+$BG$2</f>
        <v>4.1666666666666664E-2</v>
      </c>
    </row>
    <row r="163" spans="1:60" x14ac:dyDescent="0.25">
      <c r="A163" s="16"/>
      <c r="B163" s="2"/>
      <c r="D163" s="16"/>
      <c r="E163" s="16"/>
      <c r="G163" s="1"/>
      <c r="H163" s="1"/>
      <c r="I163" s="1"/>
      <c r="J163" s="1"/>
      <c r="K163" s="33"/>
      <c r="L163" s="22"/>
      <c r="M163" s="1"/>
      <c r="N163" s="1"/>
      <c r="O163" s="1"/>
      <c r="P163" s="1"/>
      <c r="Q163" s="1"/>
      <c r="R163" s="1"/>
      <c r="S163" s="1"/>
      <c r="BB163" s="9" t="str">
        <f t="shared" si="9"/>
        <v>Yes</v>
      </c>
      <c r="BC163" s="9" t="str">
        <f>IF(EFB!$N163=Table1[[#This Row],[ProgramTitle]],"Yes","No")</f>
        <v>Yes</v>
      </c>
      <c r="BD163" s="9" t="str">
        <f>IF(EFB!$S163=Table1[[#This Row],[SeriesEpisodeTitle]],"Yes","No")</f>
        <v>Yes</v>
      </c>
      <c r="BE163" s="11">
        <f t="shared" si="10"/>
        <v>0</v>
      </c>
      <c r="BF163" s="11">
        <f t="shared" si="11"/>
        <v>0</v>
      </c>
      <c r="BH163" s="21">
        <f>Table1[[#This Row],[StartTime]]+$BG$2</f>
        <v>4.1666666666666664E-2</v>
      </c>
    </row>
    <row r="164" spans="1:60" x14ac:dyDescent="0.25">
      <c r="A164" s="16"/>
      <c r="B164" s="2"/>
      <c r="D164" s="16"/>
      <c r="E164" s="16"/>
      <c r="G164" s="1"/>
      <c r="H164" s="1"/>
      <c r="I164" s="1"/>
      <c r="J164" s="1"/>
      <c r="K164" s="33"/>
      <c r="L164" s="22"/>
      <c r="M164" s="1"/>
      <c r="N164" s="1"/>
      <c r="O164" s="1"/>
      <c r="P164" s="1"/>
      <c r="Q164" s="1"/>
      <c r="R164" s="1"/>
      <c r="S164" s="1"/>
      <c r="BB164" s="9" t="str">
        <f t="shared" si="9"/>
        <v>Yes</v>
      </c>
      <c r="BC164" s="9" t="str">
        <f>IF(EFB!$N164=Table1[[#This Row],[ProgramTitle]],"Yes","No")</f>
        <v>Yes</v>
      </c>
      <c r="BD164" s="9" t="str">
        <f>IF(EFB!$S164=Table1[[#This Row],[SeriesEpisodeTitle]],"Yes","No")</f>
        <v>Yes</v>
      </c>
      <c r="BE164" s="11">
        <f t="shared" si="10"/>
        <v>0</v>
      </c>
      <c r="BF164" s="11">
        <f t="shared" si="11"/>
        <v>0</v>
      </c>
      <c r="BH164" s="21">
        <f>Table1[[#This Row],[StartTime]]+$BG$2</f>
        <v>4.1666666666666664E-2</v>
      </c>
    </row>
    <row r="165" spans="1:60" x14ac:dyDescent="0.25">
      <c r="A165" s="16"/>
      <c r="B165" s="2"/>
      <c r="D165" s="16"/>
      <c r="E165" s="16"/>
      <c r="G165" s="1"/>
      <c r="H165" s="1"/>
      <c r="I165" s="1"/>
      <c r="J165" s="1"/>
      <c r="K165" s="33"/>
      <c r="L165" s="22"/>
      <c r="M165" s="1"/>
      <c r="N165" s="1"/>
      <c r="O165" s="1"/>
      <c r="P165" s="1"/>
      <c r="Q165" s="1"/>
      <c r="R165" s="1"/>
      <c r="S165" s="1"/>
      <c r="BB165" s="9" t="str">
        <f t="shared" si="9"/>
        <v>Yes</v>
      </c>
      <c r="BC165" s="9" t="str">
        <f>IF(EFB!$N165=Table1[[#This Row],[ProgramTitle]],"Yes","No")</f>
        <v>Yes</v>
      </c>
      <c r="BD165" s="9" t="str">
        <f>IF(EFB!$S165=Table1[[#This Row],[SeriesEpisodeTitle]],"Yes","No")</f>
        <v>Yes</v>
      </c>
      <c r="BE165" s="11">
        <f t="shared" si="10"/>
        <v>0</v>
      </c>
      <c r="BF165" s="11">
        <f t="shared" si="11"/>
        <v>0</v>
      </c>
      <c r="BH165" s="21">
        <f>Table1[[#This Row],[StartTime]]+$BG$2</f>
        <v>4.1666666666666664E-2</v>
      </c>
    </row>
    <row r="166" spans="1:60" x14ac:dyDescent="0.25">
      <c r="A166" s="16"/>
      <c r="B166" s="2"/>
      <c r="D166" s="16"/>
      <c r="E166" s="16"/>
      <c r="G166" s="1"/>
      <c r="H166" s="1"/>
      <c r="I166" s="1"/>
      <c r="J166" s="1"/>
      <c r="K166" s="33"/>
      <c r="L166" s="22"/>
      <c r="M166" s="1"/>
      <c r="N166" s="1"/>
      <c r="O166" s="1"/>
      <c r="P166" s="1"/>
      <c r="Q166" s="1"/>
      <c r="R166" s="1"/>
      <c r="S166" s="1"/>
      <c r="BB166" s="9" t="str">
        <f t="shared" si="9"/>
        <v>Yes</v>
      </c>
      <c r="BC166" s="9" t="str">
        <f>IF(EFB!$N166=Table1[[#This Row],[ProgramTitle]],"Yes","No")</f>
        <v>Yes</v>
      </c>
      <c r="BD166" s="9" t="str">
        <f>IF(EFB!$S166=Table1[[#This Row],[SeriesEpisodeTitle]],"Yes","No")</f>
        <v>Yes</v>
      </c>
      <c r="BE166" s="11">
        <f t="shared" si="10"/>
        <v>0</v>
      </c>
      <c r="BF166" s="11">
        <f t="shared" si="11"/>
        <v>0</v>
      </c>
      <c r="BH166" s="21">
        <f>Table1[[#This Row],[StartTime]]+$BG$2</f>
        <v>4.1666666666666664E-2</v>
      </c>
    </row>
    <row r="167" spans="1:60" x14ac:dyDescent="0.25">
      <c r="A167" s="16"/>
      <c r="B167" s="2"/>
      <c r="D167" s="16"/>
      <c r="E167" s="16"/>
      <c r="G167" s="1"/>
      <c r="H167" s="1"/>
      <c r="I167" s="1"/>
      <c r="J167" s="1"/>
      <c r="K167" s="33"/>
      <c r="L167" s="22"/>
      <c r="M167" s="1"/>
      <c r="N167" s="1"/>
      <c r="O167" s="1"/>
      <c r="P167" s="1"/>
      <c r="Q167" s="1"/>
      <c r="R167" s="1"/>
      <c r="S167" s="1"/>
      <c r="BB167" s="9" t="str">
        <f t="shared" si="9"/>
        <v>Yes</v>
      </c>
      <c r="BC167" s="9" t="str">
        <f>IF(EFB!$N167=Table1[[#This Row],[ProgramTitle]],"Yes","No")</f>
        <v>Yes</v>
      </c>
      <c r="BD167" s="9" t="str">
        <f>IF(EFB!$S167=Table1[[#This Row],[SeriesEpisodeTitle]],"Yes","No")</f>
        <v>Yes</v>
      </c>
      <c r="BE167" s="11">
        <f t="shared" si="10"/>
        <v>0</v>
      </c>
      <c r="BF167" s="11">
        <f t="shared" si="11"/>
        <v>0</v>
      </c>
      <c r="BH167" s="21">
        <f>Table1[[#This Row],[StartTime]]+$BG$2</f>
        <v>4.1666666666666664E-2</v>
      </c>
    </row>
    <row r="168" spans="1:60" x14ac:dyDescent="0.25">
      <c r="A168" s="16"/>
      <c r="B168" s="2"/>
      <c r="D168" s="16"/>
      <c r="E168" s="16"/>
      <c r="G168" s="1"/>
      <c r="H168" s="1"/>
      <c r="I168" s="1"/>
      <c r="J168" s="1"/>
      <c r="K168" s="33"/>
      <c r="L168" s="22"/>
      <c r="M168" s="1"/>
      <c r="N168" s="1"/>
      <c r="O168" s="1"/>
      <c r="P168" s="1"/>
      <c r="Q168" s="1"/>
      <c r="R168" s="1"/>
      <c r="S168" s="1"/>
      <c r="BB168" s="9" t="str">
        <f t="shared" si="9"/>
        <v>Yes</v>
      </c>
      <c r="BC168" s="9" t="str">
        <f>IF(EFB!$N168=Table1[[#This Row],[ProgramTitle]],"Yes","No")</f>
        <v>Yes</v>
      </c>
      <c r="BD168" s="9" t="str">
        <f>IF(EFB!$S168=Table1[[#This Row],[SeriesEpisodeTitle]],"Yes","No")</f>
        <v>Yes</v>
      </c>
      <c r="BE168" s="11">
        <f t="shared" si="10"/>
        <v>0</v>
      </c>
      <c r="BF168" s="11">
        <f t="shared" si="11"/>
        <v>0</v>
      </c>
      <c r="BH168" s="21">
        <f>Table1[[#This Row],[StartTime]]+$BG$2</f>
        <v>4.1666666666666664E-2</v>
      </c>
    </row>
    <row r="169" spans="1:60" x14ac:dyDescent="0.25">
      <c r="A169" s="16"/>
      <c r="B169" s="2"/>
      <c r="D169" s="16"/>
      <c r="E169" s="16"/>
      <c r="G169" s="1"/>
      <c r="H169" s="1"/>
      <c r="I169" s="1"/>
      <c r="J169" s="1"/>
      <c r="K169" s="33"/>
      <c r="L169" s="22"/>
      <c r="M169" s="1"/>
      <c r="N169" s="1"/>
      <c r="O169" s="1"/>
      <c r="P169" s="1"/>
      <c r="Q169" s="1"/>
      <c r="R169" s="1"/>
      <c r="S169" s="1"/>
      <c r="BB169" s="9" t="str">
        <f t="shared" si="9"/>
        <v>Yes</v>
      </c>
      <c r="BC169" s="9" t="str">
        <f>IF(EFB!$N169=Table1[[#This Row],[ProgramTitle]],"Yes","No")</f>
        <v>Yes</v>
      </c>
      <c r="BD169" s="9" t="str">
        <f>IF(EFB!$S169=Table1[[#This Row],[SeriesEpisodeTitle]],"Yes","No")</f>
        <v>Yes</v>
      </c>
      <c r="BE169" s="11">
        <f t="shared" si="10"/>
        <v>0</v>
      </c>
      <c r="BF169" s="11">
        <f t="shared" si="11"/>
        <v>0</v>
      </c>
      <c r="BH169" s="21">
        <f>Table1[[#This Row],[StartTime]]+$BG$2</f>
        <v>4.1666666666666664E-2</v>
      </c>
    </row>
    <row r="170" spans="1:60" x14ac:dyDescent="0.25">
      <c r="A170" s="16"/>
      <c r="B170" s="2"/>
      <c r="D170" s="16"/>
      <c r="E170" s="16"/>
      <c r="G170" s="1"/>
      <c r="H170" s="1"/>
      <c r="I170" s="1"/>
      <c r="J170" s="1"/>
      <c r="K170" s="33"/>
      <c r="L170" s="22"/>
      <c r="M170" s="1"/>
      <c r="N170" s="1"/>
      <c r="O170" s="1"/>
      <c r="P170" s="1"/>
      <c r="Q170" s="1"/>
      <c r="R170" s="1"/>
      <c r="S170" s="1"/>
      <c r="BB170" s="9" t="str">
        <f t="shared" si="9"/>
        <v>Yes</v>
      </c>
      <c r="BC170" s="9" t="str">
        <f>IF(EFB!$N170=Table1[[#This Row],[ProgramTitle]],"Yes","No")</f>
        <v>Yes</v>
      </c>
      <c r="BD170" s="9" t="str">
        <f>IF(EFB!$S170=Table1[[#This Row],[SeriesEpisodeTitle]],"Yes","No")</f>
        <v>Yes</v>
      </c>
      <c r="BE170" s="11">
        <f t="shared" si="10"/>
        <v>0</v>
      </c>
      <c r="BF170" s="11">
        <f t="shared" si="11"/>
        <v>0</v>
      </c>
      <c r="BH170" s="21">
        <f>Table1[[#This Row],[StartTime]]+$BG$2</f>
        <v>4.1666666666666664E-2</v>
      </c>
    </row>
    <row r="171" spans="1:60" x14ac:dyDescent="0.25">
      <c r="A171" s="16"/>
      <c r="B171" s="2"/>
      <c r="D171" s="16"/>
      <c r="E171" s="16"/>
      <c r="G171" s="1"/>
      <c r="H171" s="1"/>
      <c r="I171" s="1"/>
      <c r="J171" s="1"/>
      <c r="K171" s="33"/>
      <c r="L171" s="22"/>
      <c r="M171" s="1"/>
      <c r="N171" s="1"/>
      <c r="O171" s="1"/>
      <c r="P171" s="1"/>
      <c r="Q171" s="1"/>
      <c r="R171" s="1"/>
      <c r="S171" s="1"/>
      <c r="BB171" s="9" t="str">
        <f t="shared" si="9"/>
        <v>Yes</v>
      </c>
      <c r="BC171" s="9" t="str">
        <f>IF(EFB!$N171=Table1[[#This Row],[ProgramTitle]],"Yes","No")</f>
        <v>Yes</v>
      </c>
      <c r="BD171" s="9" t="str">
        <f>IF(EFB!$S171=Table1[[#This Row],[SeriesEpisodeTitle]],"Yes","No")</f>
        <v>Yes</v>
      </c>
      <c r="BE171" s="11">
        <f t="shared" si="10"/>
        <v>0</v>
      </c>
      <c r="BF171" s="11">
        <f t="shared" si="11"/>
        <v>0</v>
      </c>
      <c r="BH171" s="21">
        <f>Table1[[#This Row],[StartTime]]+$BG$2</f>
        <v>4.1666666666666664E-2</v>
      </c>
    </row>
    <row r="172" spans="1:60" x14ac:dyDescent="0.25">
      <c r="A172" s="16"/>
      <c r="B172" s="2"/>
      <c r="D172" s="16"/>
      <c r="E172" s="16"/>
      <c r="G172" s="1"/>
      <c r="H172" s="1"/>
      <c r="I172" s="1"/>
      <c r="J172" s="1"/>
      <c r="K172" s="33"/>
      <c r="L172" s="22"/>
      <c r="M172" s="1"/>
      <c r="N172" s="1"/>
      <c r="O172" s="1"/>
      <c r="P172" s="1"/>
      <c r="Q172" s="1"/>
      <c r="R172" s="1"/>
      <c r="S172" s="1"/>
      <c r="BB172" s="9" t="str">
        <f t="shared" si="9"/>
        <v>Yes</v>
      </c>
      <c r="BC172" s="9" t="str">
        <f>IF(EFB!$N172=Table1[[#This Row],[ProgramTitle]],"Yes","No")</f>
        <v>Yes</v>
      </c>
      <c r="BD172" s="9" t="str">
        <f>IF(EFB!$S172=Table1[[#This Row],[SeriesEpisodeTitle]],"Yes","No")</f>
        <v>Yes</v>
      </c>
      <c r="BE172" s="11">
        <f t="shared" si="10"/>
        <v>0</v>
      </c>
      <c r="BF172" s="11">
        <f t="shared" si="11"/>
        <v>0</v>
      </c>
      <c r="BH172" s="21">
        <f>Table1[[#This Row],[StartTime]]+$BG$2</f>
        <v>4.1666666666666664E-2</v>
      </c>
    </row>
    <row r="173" spans="1:60" x14ac:dyDescent="0.25">
      <c r="A173" s="16"/>
      <c r="B173" s="2"/>
      <c r="D173" s="16"/>
      <c r="E173" s="16"/>
      <c r="G173" s="1"/>
      <c r="H173" s="1"/>
      <c r="I173" s="1"/>
      <c r="J173" s="1"/>
      <c r="K173" s="33"/>
      <c r="L173" s="22"/>
      <c r="M173" s="1"/>
      <c r="N173" s="1"/>
      <c r="O173" s="1"/>
      <c r="P173" s="1"/>
      <c r="Q173" s="1"/>
      <c r="R173" s="1"/>
      <c r="S173" s="1"/>
      <c r="BB173" s="9" t="str">
        <f t="shared" si="9"/>
        <v>Yes</v>
      </c>
      <c r="BC173" s="9" t="str">
        <f>IF(EFB!$N173=Table1[[#This Row],[ProgramTitle]],"Yes","No")</f>
        <v>Yes</v>
      </c>
      <c r="BD173" s="9" t="str">
        <f>IF(EFB!$S173=Table1[[#This Row],[SeriesEpisodeTitle]],"Yes","No")</f>
        <v>Yes</v>
      </c>
      <c r="BE173" s="11">
        <f t="shared" si="10"/>
        <v>0</v>
      </c>
      <c r="BF173" s="11">
        <f t="shared" si="11"/>
        <v>0</v>
      </c>
      <c r="BH173" s="21">
        <f>Table1[[#This Row],[StartTime]]+$BG$2</f>
        <v>4.1666666666666664E-2</v>
      </c>
    </row>
    <row r="174" spans="1:60" x14ac:dyDescent="0.25">
      <c r="A174" s="16"/>
      <c r="B174" s="2"/>
      <c r="D174" s="16"/>
      <c r="E174" s="16"/>
      <c r="G174" s="1"/>
      <c r="H174" s="1"/>
      <c r="I174" s="1"/>
      <c r="J174" s="1"/>
      <c r="K174" s="33"/>
      <c r="L174" s="22"/>
      <c r="M174" s="1"/>
      <c r="N174" s="1"/>
      <c r="O174" s="1"/>
      <c r="P174" s="1"/>
      <c r="Q174" s="1"/>
      <c r="R174" s="1"/>
      <c r="S174" s="1"/>
      <c r="BB174" s="9" t="str">
        <f t="shared" si="9"/>
        <v>Yes</v>
      </c>
      <c r="BC174" s="9" t="str">
        <f>IF(EFB!$N174=Table1[[#This Row],[ProgramTitle]],"Yes","No")</f>
        <v>Yes</v>
      </c>
      <c r="BD174" s="9" t="str">
        <f>IF(EFB!$S174=Table1[[#This Row],[SeriesEpisodeTitle]],"Yes","No")</f>
        <v>Yes</v>
      </c>
      <c r="BE174" s="11">
        <f t="shared" si="10"/>
        <v>0</v>
      </c>
      <c r="BF174" s="11">
        <f t="shared" si="11"/>
        <v>0</v>
      </c>
      <c r="BH174" s="21">
        <f>Table1[[#This Row],[StartTime]]+$BG$2</f>
        <v>4.1666666666666664E-2</v>
      </c>
    </row>
    <row r="175" spans="1:60" x14ac:dyDescent="0.25">
      <c r="A175" s="16"/>
      <c r="B175" s="2"/>
      <c r="D175" s="16"/>
      <c r="E175" s="16"/>
      <c r="G175" s="1"/>
      <c r="H175" s="1"/>
      <c r="I175" s="1"/>
      <c r="J175" s="1"/>
      <c r="K175" s="33"/>
      <c r="L175" s="22"/>
      <c r="M175" s="1"/>
      <c r="N175" s="1"/>
      <c r="O175" s="1"/>
      <c r="P175" s="1"/>
      <c r="Q175" s="1"/>
      <c r="R175" s="1"/>
      <c r="S175" s="1"/>
      <c r="BB175" s="9" t="str">
        <f t="shared" ref="BB175:BB238" si="13">IF(BE175=BF175,"Yes","No")</f>
        <v>Yes</v>
      </c>
      <c r="BC175" s="9" t="str">
        <f>IF(EFB!$N175=Table1[[#This Row],[ProgramTitle]],"Yes","No")</f>
        <v>Yes</v>
      </c>
      <c r="BD175" s="9" t="str">
        <f>IF(EFB!$S175=Table1[[#This Row],[SeriesEpisodeTitle]],"Yes","No")</f>
        <v>Yes</v>
      </c>
      <c r="BE175" s="11">
        <f t="shared" ref="BE175:BE238" si="14">TIME(HOUR(C175),MINUTE(C175),SECOND(0))</f>
        <v>0</v>
      </c>
      <c r="BF175" s="11">
        <f t="shared" ref="BF175:BF238" si="15">TIME(HOUR(L175),MINUTE(L175),SECOND(0))</f>
        <v>0</v>
      </c>
      <c r="BH175" s="21">
        <f>Table1[[#This Row],[StartTime]]+$BG$2</f>
        <v>4.1666666666666664E-2</v>
      </c>
    </row>
    <row r="176" spans="1:60" x14ac:dyDescent="0.25">
      <c r="A176" s="16"/>
      <c r="B176" s="2"/>
      <c r="D176" s="16"/>
      <c r="E176" s="16"/>
      <c r="G176" s="1"/>
      <c r="H176" s="1"/>
      <c r="I176" s="1"/>
      <c r="J176" s="1"/>
      <c r="K176" s="33"/>
      <c r="L176" s="22"/>
      <c r="M176" s="1"/>
      <c r="N176" s="1"/>
      <c r="O176" s="1"/>
      <c r="P176" s="1"/>
      <c r="Q176" s="1"/>
      <c r="R176" s="1"/>
      <c r="S176" s="1"/>
      <c r="BB176" s="9" t="str">
        <f t="shared" si="13"/>
        <v>Yes</v>
      </c>
      <c r="BC176" s="9" t="str">
        <f>IF(EFB!$N176=Table1[[#This Row],[ProgramTitle]],"Yes","No")</f>
        <v>Yes</v>
      </c>
      <c r="BD176" s="9" t="str">
        <f>IF(EFB!$S176=Table1[[#This Row],[SeriesEpisodeTitle]],"Yes","No")</f>
        <v>Yes</v>
      </c>
      <c r="BE176" s="11">
        <f t="shared" si="14"/>
        <v>0</v>
      </c>
      <c r="BF176" s="11">
        <f t="shared" si="15"/>
        <v>0</v>
      </c>
      <c r="BH176" s="21">
        <f>Table1[[#This Row],[StartTime]]+$BG$2</f>
        <v>4.1666666666666664E-2</v>
      </c>
    </row>
    <row r="177" spans="1:60" x14ac:dyDescent="0.25">
      <c r="A177" s="16"/>
      <c r="B177" s="2"/>
      <c r="D177" s="16"/>
      <c r="E177" s="16"/>
      <c r="G177" s="1"/>
      <c r="H177" s="1"/>
      <c r="I177" s="1"/>
      <c r="J177" s="1"/>
      <c r="K177" s="33"/>
      <c r="L177" s="22"/>
      <c r="M177" s="1"/>
      <c r="N177" s="1"/>
      <c r="O177" s="1"/>
      <c r="P177" s="1"/>
      <c r="Q177" s="1"/>
      <c r="R177" s="1"/>
      <c r="S177" s="1"/>
      <c r="BB177" s="9" t="str">
        <f t="shared" si="13"/>
        <v>Yes</v>
      </c>
      <c r="BC177" s="9" t="str">
        <f>IF(EFB!$N177=Table1[[#This Row],[ProgramTitle]],"Yes","No")</f>
        <v>Yes</v>
      </c>
      <c r="BD177" s="9" t="str">
        <f>IF(EFB!$S177=Table1[[#This Row],[SeriesEpisodeTitle]],"Yes","No")</f>
        <v>Yes</v>
      </c>
      <c r="BE177" s="11">
        <f t="shared" si="14"/>
        <v>0</v>
      </c>
      <c r="BF177" s="11">
        <f t="shared" si="15"/>
        <v>0</v>
      </c>
      <c r="BH177" s="21">
        <f>Table1[[#This Row],[StartTime]]+$BG$2</f>
        <v>4.1666666666666664E-2</v>
      </c>
    </row>
    <row r="178" spans="1:60" x14ac:dyDescent="0.25">
      <c r="A178" s="16"/>
      <c r="B178" s="2"/>
      <c r="D178" s="16"/>
      <c r="E178" s="16"/>
      <c r="G178" s="1"/>
      <c r="H178" s="1"/>
      <c r="I178" s="1"/>
      <c r="J178" s="1"/>
      <c r="K178" s="33"/>
      <c r="L178" s="22"/>
      <c r="M178" s="1"/>
      <c r="N178" s="1"/>
      <c r="O178" s="1"/>
      <c r="P178" s="1"/>
      <c r="Q178" s="1"/>
      <c r="R178" s="1"/>
      <c r="S178" s="1"/>
      <c r="BB178" s="9" t="str">
        <f t="shared" si="13"/>
        <v>Yes</v>
      </c>
      <c r="BC178" s="9" t="str">
        <f>IF(EFB!$N178=Table1[[#This Row],[ProgramTitle]],"Yes","No")</f>
        <v>Yes</v>
      </c>
      <c r="BD178" s="9" t="str">
        <f>IF(EFB!$S178=Table1[[#This Row],[SeriesEpisodeTitle]],"Yes","No")</f>
        <v>Yes</v>
      </c>
      <c r="BE178" s="11">
        <f t="shared" si="14"/>
        <v>0</v>
      </c>
      <c r="BF178" s="11">
        <f t="shared" si="15"/>
        <v>0</v>
      </c>
      <c r="BH178" s="21">
        <f>Table1[[#This Row],[StartTime]]+$BG$2</f>
        <v>4.1666666666666664E-2</v>
      </c>
    </row>
    <row r="179" spans="1:60" x14ac:dyDescent="0.25">
      <c r="A179" s="16"/>
      <c r="B179" s="2"/>
      <c r="D179" s="16"/>
      <c r="E179" s="16"/>
      <c r="G179" s="1"/>
      <c r="H179" s="1"/>
      <c r="I179" s="1"/>
      <c r="J179" s="1"/>
      <c r="K179" s="33"/>
      <c r="L179" s="22"/>
      <c r="M179" s="1"/>
      <c r="N179" s="1"/>
      <c r="O179" s="1"/>
      <c r="P179" s="1"/>
      <c r="Q179" s="1"/>
      <c r="R179" s="1"/>
      <c r="S179" s="1"/>
      <c r="BB179" s="9" t="str">
        <f t="shared" si="13"/>
        <v>Yes</v>
      </c>
      <c r="BC179" s="9" t="str">
        <f>IF(EFB!$N179=Table1[[#This Row],[ProgramTitle]],"Yes","No")</f>
        <v>Yes</v>
      </c>
      <c r="BD179" s="9" t="str">
        <f>IF(EFB!$S179=Table1[[#This Row],[SeriesEpisodeTitle]],"Yes","No")</f>
        <v>Yes</v>
      </c>
      <c r="BE179" s="11">
        <f t="shared" si="14"/>
        <v>0</v>
      </c>
      <c r="BF179" s="11">
        <f t="shared" si="15"/>
        <v>0</v>
      </c>
      <c r="BH179" s="21">
        <f>Table1[[#This Row],[StartTime]]+$BG$2</f>
        <v>4.1666666666666664E-2</v>
      </c>
    </row>
    <row r="180" spans="1:60" x14ac:dyDescent="0.25">
      <c r="A180" s="16"/>
      <c r="B180" s="2"/>
      <c r="D180" s="16"/>
      <c r="E180" s="16"/>
      <c r="G180" s="1"/>
      <c r="H180" s="1"/>
      <c r="I180" s="1"/>
      <c r="J180" s="1"/>
      <c r="K180" s="33"/>
      <c r="L180" s="22"/>
      <c r="M180" s="1"/>
      <c r="N180" s="1"/>
      <c r="O180" s="1"/>
      <c r="P180" s="1"/>
      <c r="Q180" s="1"/>
      <c r="R180" s="1"/>
      <c r="S180" s="1"/>
      <c r="BB180" s="9" t="str">
        <f t="shared" si="13"/>
        <v>Yes</v>
      </c>
      <c r="BC180" s="9" t="str">
        <f>IF(EFB!$N180=Table1[[#This Row],[ProgramTitle]],"Yes","No")</f>
        <v>Yes</v>
      </c>
      <c r="BD180" s="9" t="str">
        <f>IF(EFB!$S180=Table1[[#This Row],[SeriesEpisodeTitle]],"Yes","No")</f>
        <v>Yes</v>
      </c>
      <c r="BE180" s="11">
        <f t="shared" si="14"/>
        <v>0</v>
      </c>
      <c r="BF180" s="11">
        <f t="shared" si="15"/>
        <v>0</v>
      </c>
      <c r="BH180" s="21">
        <f>Table1[[#This Row],[StartTime]]+$BG$2</f>
        <v>4.1666666666666664E-2</v>
      </c>
    </row>
    <row r="181" spans="1:60" x14ac:dyDescent="0.25">
      <c r="A181" s="16"/>
      <c r="B181" s="2"/>
      <c r="D181" s="16"/>
      <c r="E181" s="16"/>
      <c r="G181" s="1"/>
      <c r="H181" s="1"/>
      <c r="I181" s="1"/>
      <c r="J181" s="1"/>
      <c r="K181" s="33"/>
      <c r="L181" s="22"/>
      <c r="M181" s="1"/>
      <c r="N181" s="1"/>
      <c r="O181" s="1"/>
      <c r="P181" s="1"/>
      <c r="Q181" s="1"/>
      <c r="R181" s="1"/>
      <c r="S181" s="1"/>
      <c r="BB181" s="9" t="str">
        <f t="shared" si="13"/>
        <v>Yes</v>
      </c>
      <c r="BC181" s="9" t="str">
        <f>IF(EFB!$N181=Table1[[#This Row],[ProgramTitle]],"Yes","No")</f>
        <v>Yes</v>
      </c>
      <c r="BD181" s="9" t="str">
        <f>IF(EFB!$S181=Table1[[#This Row],[SeriesEpisodeTitle]],"Yes","No")</f>
        <v>Yes</v>
      </c>
      <c r="BE181" s="11">
        <f t="shared" si="14"/>
        <v>0</v>
      </c>
      <c r="BF181" s="11">
        <f t="shared" si="15"/>
        <v>0</v>
      </c>
      <c r="BH181" s="21">
        <f>Table1[[#This Row],[StartTime]]+$BG$2</f>
        <v>4.1666666666666664E-2</v>
      </c>
    </row>
    <row r="182" spans="1:60" x14ac:dyDescent="0.25">
      <c r="A182" s="16"/>
      <c r="B182" s="2"/>
      <c r="D182" s="16"/>
      <c r="E182" s="16"/>
      <c r="G182" s="1"/>
      <c r="H182" s="1"/>
      <c r="I182" s="1"/>
      <c r="J182" s="1"/>
      <c r="K182" s="33"/>
      <c r="L182" s="22"/>
      <c r="M182" s="1"/>
      <c r="N182" s="1"/>
      <c r="O182" s="1"/>
      <c r="P182" s="1"/>
      <c r="Q182" s="1"/>
      <c r="R182" s="1"/>
      <c r="S182" s="1"/>
      <c r="BB182" s="9" t="str">
        <f t="shared" si="13"/>
        <v>Yes</v>
      </c>
      <c r="BC182" s="9" t="str">
        <f>IF(EFB!$N182=Table1[[#This Row],[ProgramTitle]],"Yes","No")</f>
        <v>Yes</v>
      </c>
      <c r="BD182" s="9" t="str">
        <f>IF(EFB!$S182=Table1[[#This Row],[SeriesEpisodeTitle]],"Yes","No")</f>
        <v>Yes</v>
      </c>
      <c r="BE182" s="11">
        <f t="shared" si="14"/>
        <v>0</v>
      </c>
      <c r="BF182" s="11">
        <f t="shared" si="15"/>
        <v>0</v>
      </c>
      <c r="BH182" s="21">
        <f>Table1[[#This Row],[StartTime]]+$BG$2</f>
        <v>4.1666666666666664E-2</v>
      </c>
    </row>
    <row r="183" spans="1:60" x14ac:dyDescent="0.25">
      <c r="A183" s="16"/>
      <c r="B183" s="2"/>
      <c r="D183" s="16"/>
      <c r="E183" s="16"/>
      <c r="G183" s="1"/>
      <c r="H183" s="1"/>
      <c r="I183" s="1"/>
      <c r="J183" s="1"/>
      <c r="K183" s="33"/>
      <c r="L183" s="22"/>
      <c r="M183" s="1"/>
      <c r="N183" s="1"/>
      <c r="O183" s="1"/>
      <c r="P183" s="1"/>
      <c r="Q183" s="1"/>
      <c r="R183" s="1"/>
      <c r="S183" s="1"/>
      <c r="BB183" s="9" t="str">
        <f t="shared" si="13"/>
        <v>Yes</v>
      </c>
      <c r="BC183" s="9" t="str">
        <f>IF(EFB!$N183=Table1[[#This Row],[ProgramTitle]],"Yes","No")</f>
        <v>Yes</v>
      </c>
      <c r="BD183" s="9" t="str">
        <f>IF(EFB!$S183=Table1[[#This Row],[SeriesEpisodeTitle]],"Yes","No")</f>
        <v>Yes</v>
      </c>
      <c r="BE183" s="11">
        <f t="shared" si="14"/>
        <v>0</v>
      </c>
      <c r="BF183" s="11">
        <f t="shared" si="15"/>
        <v>0</v>
      </c>
      <c r="BH183" s="21">
        <f>Table1[[#This Row],[StartTime]]+$BG$2</f>
        <v>4.1666666666666664E-2</v>
      </c>
    </row>
    <row r="184" spans="1:60" x14ac:dyDescent="0.25">
      <c r="A184" s="16"/>
      <c r="B184" s="2"/>
      <c r="D184" s="16"/>
      <c r="E184" s="16"/>
      <c r="G184" s="1"/>
      <c r="H184" s="1"/>
      <c r="I184" s="1"/>
      <c r="J184" s="1"/>
      <c r="K184" s="33"/>
      <c r="L184" s="22"/>
      <c r="M184" s="1"/>
      <c r="N184" s="1"/>
      <c r="O184" s="1"/>
      <c r="P184" s="1"/>
      <c r="Q184" s="1"/>
      <c r="R184" s="1"/>
      <c r="S184" s="1"/>
      <c r="BB184" s="9" t="str">
        <f t="shared" si="13"/>
        <v>Yes</v>
      </c>
      <c r="BC184" s="9" t="str">
        <f>IF(EFB!$N184=Table1[[#This Row],[ProgramTitle]],"Yes","No")</f>
        <v>Yes</v>
      </c>
      <c r="BD184" s="9" t="str">
        <f>IF(EFB!$S184=Table1[[#This Row],[SeriesEpisodeTitle]],"Yes","No")</f>
        <v>Yes</v>
      </c>
      <c r="BE184" s="11">
        <f t="shared" si="14"/>
        <v>0</v>
      </c>
      <c r="BF184" s="11">
        <f t="shared" si="15"/>
        <v>0</v>
      </c>
      <c r="BH184" s="21">
        <f>Table1[[#This Row],[StartTime]]+$BG$2</f>
        <v>4.1666666666666664E-2</v>
      </c>
    </row>
    <row r="185" spans="1:60" x14ac:dyDescent="0.25">
      <c r="A185" s="16"/>
      <c r="B185" s="2"/>
      <c r="D185" s="16"/>
      <c r="E185" s="16"/>
      <c r="G185" s="1"/>
      <c r="H185" s="1"/>
      <c r="I185" s="1"/>
      <c r="J185" s="1"/>
      <c r="K185" s="33"/>
      <c r="L185" s="22"/>
      <c r="M185" s="1"/>
      <c r="N185" s="1"/>
      <c r="O185" s="1"/>
      <c r="P185" s="1"/>
      <c r="Q185" s="1"/>
      <c r="R185" s="1"/>
      <c r="S185" s="1"/>
      <c r="BB185" s="9" t="str">
        <f t="shared" si="13"/>
        <v>Yes</v>
      </c>
      <c r="BC185" s="9" t="str">
        <f>IF(EFB!$N185=Table1[[#This Row],[ProgramTitle]],"Yes","No")</f>
        <v>Yes</v>
      </c>
      <c r="BD185" s="9" t="str">
        <f>IF(EFB!$S185=Table1[[#This Row],[SeriesEpisodeTitle]],"Yes","No")</f>
        <v>Yes</v>
      </c>
      <c r="BE185" s="11">
        <f t="shared" si="14"/>
        <v>0</v>
      </c>
      <c r="BF185" s="11">
        <f t="shared" si="15"/>
        <v>0</v>
      </c>
      <c r="BH185" s="21">
        <f>Table1[[#This Row],[StartTime]]+$BG$2</f>
        <v>4.1666666666666664E-2</v>
      </c>
    </row>
    <row r="186" spans="1:60" x14ac:dyDescent="0.25">
      <c r="A186" s="16"/>
      <c r="B186" s="2"/>
      <c r="D186" s="16"/>
      <c r="E186" s="16"/>
      <c r="G186" s="1"/>
      <c r="H186" s="1"/>
      <c r="I186" s="1"/>
      <c r="J186" s="1"/>
      <c r="K186" s="33"/>
      <c r="L186" s="22"/>
      <c r="M186" s="1"/>
      <c r="N186" s="1"/>
      <c r="O186" s="1"/>
      <c r="P186" s="1"/>
      <c r="Q186" s="1"/>
      <c r="R186" s="1"/>
      <c r="S186" s="1"/>
      <c r="BB186" s="9" t="str">
        <f t="shared" si="13"/>
        <v>Yes</v>
      </c>
      <c r="BC186" s="9" t="str">
        <f>IF(EFB!$N186=Table1[[#This Row],[ProgramTitle]],"Yes","No")</f>
        <v>Yes</v>
      </c>
      <c r="BD186" s="9" t="str">
        <f>IF(EFB!$S186=Table1[[#This Row],[SeriesEpisodeTitle]],"Yes","No")</f>
        <v>Yes</v>
      </c>
      <c r="BE186" s="11">
        <f t="shared" si="14"/>
        <v>0</v>
      </c>
      <c r="BF186" s="11">
        <f t="shared" si="15"/>
        <v>0</v>
      </c>
      <c r="BH186" s="21">
        <f>Table1[[#This Row],[StartTime]]+$BG$2</f>
        <v>4.1666666666666664E-2</v>
      </c>
    </row>
    <row r="187" spans="1:60" x14ac:dyDescent="0.25">
      <c r="A187" s="16"/>
      <c r="B187" s="2"/>
      <c r="D187" s="16"/>
      <c r="E187" s="16"/>
      <c r="G187" s="1"/>
      <c r="H187" s="1"/>
      <c r="I187" s="1"/>
      <c r="J187" s="1"/>
      <c r="K187" s="33"/>
      <c r="L187" s="22"/>
      <c r="M187" s="1"/>
      <c r="N187" s="1"/>
      <c r="O187" s="1"/>
      <c r="P187" s="1"/>
      <c r="Q187" s="1"/>
      <c r="R187" s="1"/>
      <c r="S187" s="1"/>
      <c r="BB187" s="9" t="str">
        <f t="shared" si="13"/>
        <v>Yes</v>
      </c>
      <c r="BC187" s="9" t="str">
        <f>IF(EFB!$N187=Table1[[#This Row],[ProgramTitle]],"Yes","No")</f>
        <v>Yes</v>
      </c>
      <c r="BD187" s="9" t="str">
        <f>IF(EFB!$S187=Table1[[#This Row],[SeriesEpisodeTitle]],"Yes","No")</f>
        <v>Yes</v>
      </c>
      <c r="BE187" s="11">
        <f t="shared" si="14"/>
        <v>0</v>
      </c>
      <c r="BF187" s="11">
        <f t="shared" si="15"/>
        <v>0</v>
      </c>
      <c r="BH187" s="21">
        <f>Table1[[#This Row],[StartTime]]+$BG$2</f>
        <v>4.1666666666666664E-2</v>
      </c>
    </row>
    <row r="188" spans="1:60" x14ac:dyDescent="0.25">
      <c r="A188" s="16"/>
      <c r="B188" s="2"/>
      <c r="D188" s="16"/>
      <c r="E188" s="16"/>
      <c r="G188" s="1"/>
      <c r="H188" s="1"/>
      <c r="I188" s="1"/>
      <c r="J188" s="1"/>
      <c r="K188" s="33"/>
      <c r="L188" s="22"/>
      <c r="M188" s="1"/>
      <c r="N188" s="1"/>
      <c r="O188" s="1"/>
      <c r="P188" s="1"/>
      <c r="Q188" s="1"/>
      <c r="R188" s="1"/>
      <c r="S188" s="1"/>
      <c r="BB188" s="9" t="str">
        <f t="shared" si="13"/>
        <v>Yes</v>
      </c>
      <c r="BC188" s="9" t="str">
        <f>IF(EFB!$N188=Table1[[#This Row],[ProgramTitle]],"Yes","No")</f>
        <v>Yes</v>
      </c>
      <c r="BD188" s="9" t="str">
        <f>IF(EFB!$S188=Table1[[#This Row],[SeriesEpisodeTitle]],"Yes","No")</f>
        <v>Yes</v>
      </c>
      <c r="BE188" s="11">
        <f t="shared" si="14"/>
        <v>0</v>
      </c>
      <c r="BF188" s="11">
        <f t="shared" si="15"/>
        <v>0</v>
      </c>
      <c r="BH188" s="21">
        <f>Table1[[#This Row],[StartTime]]+$BG$2</f>
        <v>4.1666666666666664E-2</v>
      </c>
    </row>
    <row r="189" spans="1:60" x14ac:dyDescent="0.25">
      <c r="A189" s="16"/>
      <c r="B189" s="2"/>
      <c r="D189" s="16"/>
      <c r="E189" s="16"/>
      <c r="G189" s="1"/>
      <c r="H189" s="1"/>
      <c r="I189" s="1"/>
      <c r="J189" s="1"/>
      <c r="K189" s="33"/>
      <c r="L189" s="22"/>
      <c r="M189" s="1"/>
      <c r="N189" s="1"/>
      <c r="O189" s="1"/>
      <c r="P189" s="1"/>
      <c r="Q189" s="1"/>
      <c r="R189" s="1"/>
      <c r="S189" s="1"/>
      <c r="BB189" s="9" t="str">
        <f t="shared" si="13"/>
        <v>Yes</v>
      </c>
      <c r="BC189" s="9" t="str">
        <f>IF(EFB!$N189=Table1[[#This Row],[ProgramTitle]],"Yes","No")</f>
        <v>Yes</v>
      </c>
      <c r="BD189" s="9" t="str">
        <f>IF(EFB!$S189=Table1[[#This Row],[SeriesEpisodeTitle]],"Yes","No")</f>
        <v>Yes</v>
      </c>
      <c r="BE189" s="11">
        <f t="shared" si="14"/>
        <v>0</v>
      </c>
      <c r="BF189" s="11">
        <f t="shared" si="15"/>
        <v>0</v>
      </c>
      <c r="BH189" s="21">
        <f>Table1[[#This Row],[StartTime]]+$BG$2</f>
        <v>4.1666666666666664E-2</v>
      </c>
    </row>
    <row r="190" spans="1:60" x14ac:dyDescent="0.25">
      <c r="A190" s="16"/>
      <c r="B190" s="2"/>
      <c r="D190" s="16"/>
      <c r="E190" s="16"/>
      <c r="G190" s="1"/>
      <c r="H190" s="1"/>
      <c r="I190" s="1"/>
      <c r="J190" s="1"/>
      <c r="K190" s="33"/>
      <c r="L190" s="22"/>
      <c r="M190" s="1"/>
      <c r="N190" s="1"/>
      <c r="O190" s="1"/>
      <c r="P190" s="1"/>
      <c r="Q190" s="1"/>
      <c r="R190" s="1"/>
      <c r="S190" s="1"/>
      <c r="BB190" s="9" t="str">
        <f t="shared" si="13"/>
        <v>Yes</v>
      </c>
      <c r="BC190" s="9" t="str">
        <f>IF(EFB!$N190=Table1[[#This Row],[ProgramTitle]],"Yes","No")</f>
        <v>Yes</v>
      </c>
      <c r="BD190" s="9" t="str">
        <f>IF(EFB!$S190=Table1[[#This Row],[SeriesEpisodeTitle]],"Yes","No")</f>
        <v>Yes</v>
      </c>
      <c r="BE190" s="11">
        <f t="shared" si="14"/>
        <v>0</v>
      </c>
      <c r="BF190" s="11">
        <f t="shared" si="15"/>
        <v>0</v>
      </c>
      <c r="BH190" s="21">
        <f>Table1[[#This Row],[StartTime]]+$BG$2</f>
        <v>4.1666666666666664E-2</v>
      </c>
    </row>
    <row r="191" spans="1:60" x14ac:dyDescent="0.25">
      <c r="A191" s="16"/>
      <c r="B191" s="2"/>
      <c r="D191" s="16"/>
      <c r="E191" s="16"/>
      <c r="G191" s="1"/>
      <c r="H191" s="1"/>
      <c r="I191" s="1"/>
      <c r="J191" s="1"/>
      <c r="K191" s="33"/>
      <c r="L191" s="22"/>
      <c r="M191" s="1"/>
      <c r="N191" s="1"/>
      <c r="O191" s="1"/>
      <c r="P191" s="1"/>
      <c r="Q191" s="1"/>
      <c r="R191" s="1"/>
      <c r="S191" s="1"/>
      <c r="BB191" s="9" t="str">
        <f t="shared" si="13"/>
        <v>Yes</v>
      </c>
      <c r="BC191" s="9" t="str">
        <f>IF(EFB!$N191=Table1[[#This Row],[ProgramTitle]],"Yes","No")</f>
        <v>Yes</v>
      </c>
      <c r="BD191" s="9" t="str">
        <f>IF(EFB!$S191=Table1[[#This Row],[SeriesEpisodeTitle]],"Yes","No")</f>
        <v>Yes</v>
      </c>
      <c r="BE191" s="11">
        <f t="shared" si="14"/>
        <v>0</v>
      </c>
      <c r="BF191" s="11">
        <f t="shared" si="15"/>
        <v>0</v>
      </c>
      <c r="BH191" s="21">
        <f>Table1[[#This Row],[StartTime]]+$BG$2</f>
        <v>4.1666666666666664E-2</v>
      </c>
    </row>
    <row r="192" spans="1:60" x14ac:dyDescent="0.25">
      <c r="A192" s="16"/>
      <c r="B192" s="2"/>
      <c r="D192" s="16"/>
      <c r="E192" s="16"/>
      <c r="G192" s="1"/>
      <c r="H192" s="1"/>
      <c r="I192" s="1"/>
      <c r="J192" s="1"/>
      <c r="K192" s="33"/>
      <c r="L192" s="22"/>
      <c r="M192" s="1"/>
      <c r="N192" s="1"/>
      <c r="O192" s="1"/>
      <c r="P192" s="1"/>
      <c r="Q192" s="1"/>
      <c r="R192" s="1"/>
      <c r="S192" s="1"/>
      <c r="BB192" s="9" t="str">
        <f t="shared" si="13"/>
        <v>Yes</v>
      </c>
      <c r="BC192" s="9" t="str">
        <f>IF(EFB!$N192=Table1[[#This Row],[ProgramTitle]],"Yes","No")</f>
        <v>Yes</v>
      </c>
      <c r="BD192" s="9" t="str">
        <f>IF(EFB!$S192=Table1[[#This Row],[SeriesEpisodeTitle]],"Yes","No")</f>
        <v>Yes</v>
      </c>
      <c r="BE192" s="11">
        <f t="shared" si="14"/>
        <v>0</v>
      </c>
      <c r="BF192" s="11">
        <f t="shared" si="15"/>
        <v>0</v>
      </c>
      <c r="BH192" s="21">
        <f>Table1[[#This Row],[StartTime]]+$BG$2</f>
        <v>4.1666666666666664E-2</v>
      </c>
    </row>
    <row r="193" spans="1:60" x14ac:dyDescent="0.25">
      <c r="A193" s="16"/>
      <c r="B193" s="2"/>
      <c r="D193" s="16"/>
      <c r="E193" s="16"/>
      <c r="G193" s="1"/>
      <c r="H193" s="1"/>
      <c r="I193" s="1"/>
      <c r="J193" s="1"/>
      <c r="K193" s="33"/>
      <c r="L193" s="22"/>
      <c r="M193" s="1"/>
      <c r="N193" s="1"/>
      <c r="O193" s="1"/>
      <c r="P193" s="1"/>
      <c r="Q193" s="1"/>
      <c r="R193" s="1"/>
      <c r="S193" s="1"/>
      <c r="BB193" s="9" t="str">
        <f t="shared" si="13"/>
        <v>Yes</v>
      </c>
      <c r="BC193" s="9" t="str">
        <f>IF(EFB!$N193=Table1[[#This Row],[ProgramTitle]],"Yes","No")</f>
        <v>Yes</v>
      </c>
      <c r="BD193" s="9" t="str">
        <f>IF(EFB!$S193=Table1[[#This Row],[SeriesEpisodeTitle]],"Yes","No")</f>
        <v>Yes</v>
      </c>
      <c r="BE193" s="11">
        <f t="shared" si="14"/>
        <v>0</v>
      </c>
      <c r="BF193" s="11">
        <f t="shared" si="15"/>
        <v>0</v>
      </c>
      <c r="BH193" s="21">
        <f>Table1[[#This Row],[StartTime]]+$BG$2</f>
        <v>4.1666666666666664E-2</v>
      </c>
    </row>
    <row r="194" spans="1:60" x14ac:dyDescent="0.25">
      <c r="A194" s="16"/>
      <c r="B194" s="2"/>
      <c r="D194" s="16"/>
      <c r="E194" s="16"/>
      <c r="G194" s="1"/>
      <c r="H194" s="1"/>
      <c r="I194" s="1"/>
      <c r="J194" s="1"/>
      <c r="K194" s="33"/>
      <c r="L194" s="22"/>
      <c r="M194" s="1"/>
      <c r="N194" s="1"/>
      <c r="O194" s="1"/>
      <c r="P194" s="1"/>
      <c r="Q194" s="1"/>
      <c r="R194" s="1"/>
      <c r="S194" s="1"/>
      <c r="BB194" s="9" t="str">
        <f t="shared" si="13"/>
        <v>Yes</v>
      </c>
      <c r="BC194" s="9" t="str">
        <f>IF(EFB!$N194=Table1[[#This Row],[ProgramTitle]],"Yes","No")</f>
        <v>Yes</v>
      </c>
      <c r="BD194" s="9" t="str">
        <f>IF(EFB!$S194=Table1[[#This Row],[SeriesEpisodeTitle]],"Yes","No")</f>
        <v>Yes</v>
      </c>
      <c r="BE194" s="11">
        <f t="shared" si="14"/>
        <v>0</v>
      </c>
      <c r="BF194" s="11">
        <f t="shared" si="15"/>
        <v>0</v>
      </c>
      <c r="BH194" s="21">
        <f>Table1[[#This Row],[StartTime]]+$BG$2</f>
        <v>4.1666666666666664E-2</v>
      </c>
    </row>
    <row r="195" spans="1:60" x14ac:dyDescent="0.25">
      <c r="A195" s="16"/>
      <c r="B195" s="2"/>
      <c r="D195" s="16"/>
      <c r="E195" s="16"/>
      <c r="G195" s="1"/>
      <c r="H195" s="1"/>
      <c r="I195" s="1"/>
      <c r="J195" s="1"/>
      <c r="K195" s="33"/>
      <c r="L195" s="22"/>
      <c r="M195" s="1"/>
      <c r="N195" s="1"/>
      <c r="O195" s="1"/>
      <c r="P195" s="1"/>
      <c r="Q195" s="1"/>
      <c r="R195" s="1"/>
      <c r="S195" s="1"/>
      <c r="BB195" s="9" t="str">
        <f t="shared" si="13"/>
        <v>Yes</v>
      </c>
      <c r="BC195" s="9" t="str">
        <f>IF(EFB!$N195=Table1[[#This Row],[ProgramTitle]],"Yes","No")</f>
        <v>Yes</v>
      </c>
      <c r="BD195" s="9" t="str">
        <f>IF(EFB!$S195=Table1[[#This Row],[SeriesEpisodeTitle]],"Yes","No")</f>
        <v>Yes</v>
      </c>
      <c r="BE195" s="11">
        <f t="shared" si="14"/>
        <v>0</v>
      </c>
      <c r="BF195" s="11">
        <f t="shared" si="15"/>
        <v>0</v>
      </c>
      <c r="BH195" s="21">
        <f>Table1[[#This Row],[StartTime]]+$BG$2</f>
        <v>4.1666666666666664E-2</v>
      </c>
    </row>
    <row r="196" spans="1:60" x14ac:dyDescent="0.25">
      <c r="A196" s="16"/>
      <c r="B196" s="2"/>
      <c r="D196" s="16"/>
      <c r="E196" s="16"/>
      <c r="G196" s="1"/>
      <c r="H196" s="1"/>
      <c r="I196" s="1"/>
      <c r="J196" s="1"/>
      <c r="K196" s="33"/>
      <c r="L196" s="22"/>
      <c r="M196" s="1"/>
      <c r="N196" s="1"/>
      <c r="O196" s="1"/>
      <c r="P196" s="1"/>
      <c r="Q196" s="1"/>
      <c r="R196" s="1"/>
      <c r="S196" s="1"/>
      <c r="BB196" s="9" t="str">
        <f t="shared" si="13"/>
        <v>Yes</v>
      </c>
      <c r="BC196" s="9" t="str">
        <f>IF(EFB!$N196=Table1[[#This Row],[ProgramTitle]],"Yes","No")</f>
        <v>Yes</v>
      </c>
      <c r="BD196" s="9" t="str">
        <f>IF(EFB!$S196=Table1[[#This Row],[SeriesEpisodeTitle]],"Yes","No")</f>
        <v>Yes</v>
      </c>
      <c r="BE196" s="11">
        <f t="shared" si="14"/>
        <v>0</v>
      </c>
      <c r="BF196" s="11">
        <f t="shared" si="15"/>
        <v>0</v>
      </c>
      <c r="BH196" s="21">
        <f>Table1[[#This Row],[StartTime]]+$BG$2</f>
        <v>4.1666666666666664E-2</v>
      </c>
    </row>
    <row r="197" spans="1:60" x14ac:dyDescent="0.25">
      <c r="A197" s="16"/>
      <c r="B197" s="2"/>
      <c r="D197" s="16"/>
      <c r="E197" s="16"/>
      <c r="G197" s="1"/>
      <c r="H197" s="1"/>
      <c r="I197" s="1"/>
      <c r="J197" s="1"/>
      <c r="K197" s="33"/>
      <c r="L197" s="22"/>
      <c r="M197" s="1"/>
      <c r="N197" s="1"/>
      <c r="O197" s="1"/>
      <c r="P197" s="1"/>
      <c r="Q197" s="1"/>
      <c r="R197" s="1"/>
      <c r="S197" s="1"/>
      <c r="BB197" s="9" t="str">
        <f t="shared" si="13"/>
        <v>Yes</v>
      </c>
      <c r="BC197" s="9" t="str">
        <f>IF(EFB!$N197=Table1[[#This Row],[ProgramTitle]],"Yes","No")</f>
        <v>Yes</v>
      </c>
      <c r="BD197" s="9" t="str">
        <f>IF(EFB!$S197=Table1[[#This Row],[SeriesEpisodeTitle]],"Yes","No")</f>
        <v>Yes</v>
      </c>
      <c r="BE197" s="11">
        <f t="shared" si="14"/>
        <v>0</v>
      </c>
      <c r="BF197" s="11">
        <f t="shared" si="15"/>
        <v>0</v>
      </c>
      <c r="BH197" s="21">
        <f>Table1[[#This Row],[StartTime]]+$BG$2</f>
        <v>4.1666666666666664E-2</v>
      </c>
    </row>
    <row r="198" spans="1:60" x14ac:dyDescent="0.25">
      <c r="A198" s="16"/>
      <c r="B198" s="2"/>
      <c r="D198" s="16"/>
      <c r="E198" s="16"/>
      <c r="G198" s="1"/>
      <c r="H198" s="1"/>
      <c r="I198" s="1"/>
      <c r="J198" s="1"/>
      <c r="K198" s="33"/>
      <c r="L198" s="22"/>
      <c r="M198" s="1"/>
      <c r="N198" s="1"/>
      <c r="O198" s="1"/>
      <c r="P198" s="1"/>
      <c r="Q198" s="1"/>
      <c r="R198" s="1"/>
      <c r="S198" s="1"/>
      <c r="BB198" s="9" t="str">
        <f t="shared" si="13"/>
        <v>Yes</v>
      </c>
      <c r="BC198" s="9" t="str">
        <f>IF(EFB!$N198=Table1[[#This Row],[ProgramTitle]],"Yes","No")</f>
        <v>Yes</v>
      </c>
      <c r="BD198" s="9" t="str">
        <f>IF(EFB!$S198=Table1[[#This Row],[SeriesEpisodeTitle]],"Yes","No")</f>
        <v>Yes</v>
      </c>
      <c r="BE198" s="11">
        <f t="shared" si="14"/>
        <v>0</v>
      </c>
      <c r="BF198" s="11">
        <f t="shared" si="15"/>
        <v>0</v>
      </c>
      <c r="BH198" s="21">
        <f>Table1[[#This Row],[StartTime]]+$BG$2</f>
        <v>4.1666666666666664E-2</v>
      </c>
    </row>
    <row r="199" spans="1:60" x14ac:dyDescent="0.25">
      <c r="A199" s="16"/>
      <c r="B199" s="2"/>
      <c r="D199" s="16"/>
      <c r="E199" s="16"/>
      <c r="G199" s="1"/>
      <c r="H199" s="1"/>
      <c r="I199" s="1"/>
      <c r="J199" s="1"/>
      <c r="K199" s="33"/>
      <c r="L199" s="22"/>
      <c r="M199" s="1"/>
      <c r="N199" s="1"/>
      <c r="O199" s="1"/>
      <c r="P199" s="1"/>
      <c r="Q199" s="1"/>
      <c r="R199" s="1"/>
      <c r="S199" s="1"/>
      <c r="BB199" s="9" t="str">
        <f t="shared" si="13"/>
        <v>Yes</v>
      </c>
      <c r="BC199" s="9" t="str">
        <f>IF(EFB!$N199=Table1[[#This Row],[ProgramTitle]],"Yes","No")</f>
        <v>Yes</v>
      </c>
      <c r="BD199" s="9" t="str">
        <f>IF(EFB!$S199=Table1[[#This Row],[SeriesEpisodeTitle]],"Yes","No")</f>
        <v>Yes</v>
      </c>
      <c r="BE199" s="11">
        <f t="shared" si="14"/>
        <v>0</v>
      </c>
      <c r="BF199" s="11">
        <f t="shared" si="15"/>
        <v>0</v>
      </c>
      <c r="BH199" s="21">
        <f>Table1[[#This Row],[StartTime]]+$BG$2</f>
        <v>4.1666666666666664E-2</v>
      </c>
    </row>
    <row r="200" spans="1:60" x14ac:dyDescent="0.25">
      <c r="A200" s="16"/>
      <c r="B200" s="2"/>
      <c r="D200" s="16"/>
      <c r="E200" s="16"/>
      <c r="G200" s="1"/>
      <c r="H200" s="1"/>
      <c r="I200" s="1"/>
      <c r="J200" s="1"/>
      <c r="K200" s="33"/>
      <c r="L200" s="22"/>
      <c r="M200" s="1"/>
      <c r="N200" s="1"/>
      <c r="O200" s="1"/>
      <c r="P200" s="1"/>
      <c r="Q200" s="1"/>
      <c r="R200" s="1"/>
      <c r="S200" s="1"/>
      <c r="BB200" s="9" t="str">
        <f t="shared" si="13"/>
        <v>Yes</v>
      </c>
      <c r="BC200" s="9" t="str">
        <f>IF(EFB!$N200=Table1[[#This Row],[ProgramTitle]],"Yes","No")</f>
        <v>Yes</v>
      </c>
      <c r="BD200" s="9" t="str">
        <f>IF(EFB!$S200=Table1[[#This Row],[SeriesEpisodeTitle]],"Yes","No")</f>
        <v>Yes</v>
      </c>
      <c r="BE200" s="11">
        <f t="shared" si="14"/>
        <v>0</v>
      </c>
      <c r="BF200" s="11">
        <f t="shared" si="15"/>
        <v>0</v>
      </c>
      <c r="BH200" s="21">
        <f>Table1[[#This Row],[StartTime]]+$BG$2</f>
        <v>4.1666666666666664E-2</v>
      </c>
    </row>
    <row r="201" spans="1:60" x14ac:dyDescent="0.25">
      <c r="A201" s="16"/>
      <c r="B201" s="2"/>
      <c r="D201" s="16"/>
      <c r="E201" s="16"/>
      <c r="G201" s="1"/>
      <c r="H201" s="1"/>
      <c r="I201" s="1"/>
      <c r="J201" s="1"/>
      <c r="K201" s="33"/>
      <c r="L201" s="22"/>
      <c r="M201" s="1"/>
      <c r="N201" s="1"/>
      <c r="O201" s="1"/>
      <c r="P201" s="1"/>
      <c r="Q201" s="1"/>
      <c r="R201" s="1"/>
      <c r="S201" s="1"/>
      <c r="BB201" s="9" t="str">
        <f t="shared" si="13"/>
        <v>Yes</v>
      </c>
      <c r="BC201" s="9" t="str">
        <f>IF(EFB!$N201=Table1[[#This Row],[ProgramTitle]],"Yes","No")</f>
        <v>Yes</v>
      </c>
      <c r="BD201" s="9" t="str">
        <f>IF(EFB!$S201=Table1[[#This Row],[SeriesEpisodeTitle]],"Yes","No")</f>
        <v>Yes</v>
      </c>
      <c r="BE201" s="11">
        <f t="shared" si="14"/>
        <v>0</v>
      </c>
      <c r="BF201" s="11">
        <f t="shared" si="15"/>
        <v>0</v>
      </c>
      <c r="BH201" s="21">
        <f>Table1[[#This Row],[StartTime]]+$BG$2</f>
        <v>4.1666666666666664E-2</v>
      </c>
    </row>
    <row r="202" spans="1:60" x14ac:dyDescent="0.25">
      <c r="A202" s="16"/>
      <c r="B202" s="2"/>
      <c r="D202" s="16"/>
      <c r="E202" s="16"/>
      <c r="G202" s="1"/>
      <c r="H202" s="1"/>
      <c r="I202" s="1"/>
      <c r="J202" s="1"/>
      <c r="K202" s="33"/>
      <c r="L202" s="22"/>
      <c r="M202" s="1"/>
      <c r="N202" s="1"/>
      <c r="O202" s="1"/>
      <c r="P202" s="1"/>
      <c r="Q202" s="1"/>
      <c r="R202" s="1"/>
      <c r="S202" s="1"/>
      <c r="BB202" s="9" t="str">
        <f t="shared" si="13"/>
        <v>Yes</v>
      </c>
      <c r="BC202" s="9" t="str">
        <f>IF(EFB!$N202=Table1[[#This Row],[ProgramTitle]],"Yes","No")</f>
        <v>Yes</v>
      </c>
      <c r="BD202" s="9" t="str">
        <f>IF(EFB!$S202=Table1[[#This Row],[SeriesEpisodeTitle]],"Yes","No")</f>
        <v>Yes</v>
      </c>
      <c r="BE202" s="11">
        <f t="shared" si="14"/>
        <v>0</v>
      </c>
      <c r="BF202" s="11">
        <f t="shared" si="15"/>
        <v>0</v>
      </c>
      <c r="BH202" s="21">
        <f>Table1[[#This Row],[StartTime]]+$BG$2</f>
        <v>4.1666666666666664E-2</v>
      </c>
    </row>
    <row r="203" spans="1:60" x14ac:dyDescent="0.25">
      <c r="A203" s="16"/>
      <c r="B203" s="2"/>
      <c r="D203" s="16"/>
      <c r="E203" s="16"/>
      <c r="G203" s="1"/>
      <c r="H203" s="1"/>
      <c r="I203" s="1"/>
      <c r="J203" s="1"/>
      <c r="K203" s="33"/>
      <c r="L203" s="22"/>
      <c r="M203" s="1"/>
      <c r="N203" s="1"/>
      <c r="O203" s="1"/>
      <c r="P203" s="1"/>
      <c r="Q203" s="1"/>
      <c r="R203" s="1"/>
      <c r="S203" s="1"/>
      <c r="BB203" s="9" t="str">
        <f t="shared" si="13"/>
        <v>Yes</v>
      </c>
      <c r="BC203" s="9" t="str">
        <f>IF(EFB!$N203=Table1[[#This Row],[ProgramTitle]],"Yes","No")</f>
        <v>Yes</v>
      </c>
      <c r="BD203" s="9" t="str">
        <f>IF(EFB!$S203=Table1[[#This Row],[SeriesEpisodeTitle]],"Yes","No")</f>
        <v>Yes</v>
      </c>
      <c r="BE203" s="11">
        <f t="shared" si="14"/>
        <v>0</v>
      </c>
      <c r="BF203" s="11">
        <f t="shared" si="15"/>
        <v>0</v>
      </c>
      <c r="BH203" s="21">
        <f>Table1[[#This Row],[StartTime]]+$BG$2</f>
        <v>4.1666666666666664E-2</v>
      </c>
    </row>
    <row r="204" spans="1:60" x14ac:dyDescent="0.25">
      <c r="A204" s="16"/>
      <c r="B204" s="2"/>
      <c r="D204" s="16"/>
      <c r="E204" s="16"/>
      <c r="G204" s="1"/>
      <c r="H204" s="1"/>
      <c r="I204" s="1"/>
      <c r="J204" s="1"/>
      <c r="K204" s="33"/>
      <c r="L204" s="22"/>
      <c r="M204" s="1"/>
      <c r="N204" s="1"/>
      <c r="O204" s="1"/>
      <c r="P204" s="1"/>
      <c r="Q204" s="1"/>
      <c r="R204" s="1"/>
      <c r="S204" s="1"/>
      <c r="BB204" s="9" t="str">
        <f t="shared" si="13"/>
        <v>Yes</v>
      </c>
      <c r="BC204" s="9" t="str">
        <f>IF(EFB!$N204=Table1[[#This Row],[ProgramTitle]],"Yes","No")</f>
        <v>Yes</v>
      </c>
      <c r="BD204" s="9" t="str">
        <f>IF(EFB!$S204=Table1[[#This Row],[SeriesEpisodeTitle]],"Yes","No")</f>
        <v>Yes</v>
      </c>
      <c r="BE204" s="11">
        <f t="shared" si="14"/>
        <v>0</v>
      </c>
      <c r="BF204" s="11">
        <f t="shared" si="15"/>
        <v>0</v>
      </c>
      <c r="BH204" s="21">
        <f>Table1[[#This Row],[StartTime]]+$BG$2</f>
        <v>4.1666666666666664E-2</v>
      </c>
    </row>
    <row r="205" spans="1:60" x14ac:dyDescent="0.25">
      <c r="A205" s="16"/>
      <c r="B205" s="2"/>
      <c r="D205" s="16"/>
      <c r="E205" s="16"/>
      <c r="G205" s="1"/>
      <c r="H205" s="1"/>
      <c r="I205" s="1"/>
      <c r="J205" s="1"/>
      <c r="K205" s="33"/>
      <c r="L205" s="22"/>
      <c r="M205" s="1"/>
      <c r="N205" s="1"/>
      <c r="O205" s="1"/>
      <c r="P205" s="1"/>
      <c r="Q205" s="1"/>
      <c r="R205" s="1"/>
      <c r="S205" s="1"/>
      <c r="BB205" s="9" t="str">
        <f t="shared" si="13"/>
        <v>Yes</v>
      </c>
      <c r="BC205" s="9" t="str">
        <f>IF(EFB!$N205=Table1[[#This Row],[ProgramTitle]],"Yes","No")</f>
        <v>Yes</v>
      </c>
      <c r="BD205" s="9" t="str">
        <f>IF(EFB!$S205=Table1[[#This Row],[SeriesEpisodeTitle]],"Yes","No")</f>
        <v>Yes</v>
      </c>
      <c r="BE205" s="11">
        <f t="shared" si="14"/>
        <v>0</v>
      </c>
      <c r="BF205" s="11">
        <f t="shared" si="15"/>
        <v>0</v>
      </c>
      <c r="BH205" s="21">
        <f>Table1[[#This Row],[StartTime]]+$BG$2</f>
        <v>4.1666666666666664E-2</v>
      </c>
    </row>
    <row r="206" spans="1:60" x14ac:dyDescent="0.25">
      <c r="A206" s="16"/>
      <c r="B206" s="2"/>
      <c r="D206" s="16"/>
      <c r="E206" s="16"/>
      <c r="G206" s="1"/>
      <c r="H206" s="1"/>
      <c r="I206" s="1"/>
      <c r="J206" s="1"/>
      <c r="K206" s="33"/>
      <c r="L206" s="22"/>
      <c r="M206" s="1"/>
      <c r="N206" s="1"/>
      <c r="O206" s="1"/>
      <c r="P206" s="1"/>
      <c r="Q206" s="1"/>
      <c r="R206" s="1"/>
      <c r="S206" s="1"/>
      <c r="BB206" s="9" t="str">
        <f t="shared" si="13"/>
        <v>Yes</v>
      </c>
      <c r="BC206" s="9" t="str">
        <f>IF(EFB!$N206=Table1[[#This Row],[ProgramTitle]],"Yes","No")</f>
        <v>Yes</v>
      </c>
      <c r="BD206" s="9" t="str">
        <f>IF(EFB!$S206=Table1[[#This Row],[SeriesEpisodeTitle]],"Yes","No")</f>
        <v>Yes</v>
      </c>
      <c r="BE206" s="11">
        <f t="shared" si="14"/>
        <v>0</v>
      </c>
      <c r="BF206" s="11">
        <f t="shared" si="15"/>
        <v>0</v>
      </c>
      <c r="BH206" s="21">
        <f>Table1[[#This Row],[StartTime]]+$BG$2</f>
        <v>4.1666666666666664E-2</v>
      </c>
    </row>
    <row r="207" spans="1:60" x14ac:dyDescent="0.25">
      <c r="A207" s="16"/>
      <c r="B207" s="2"/>
      <c r="D207" s="16"/>
      <c r="E207" s="16"/>
      <c r="G207" s="1"/>
      <c r="H207" s="1"/>
      <c r="I207" s="1"/>
      <c r="J207" s="1"/>
      <c r="K207" s="33"/>
      <c r="L207" s="22"/>
      <c r="M207" s="1"/>
      <c r="N207" s="1"/>
      <c r="O207" s="1"/>
      <c r="P207" s="1"/>
      <c r="Q207" s="1"/>
      <c r="R207" s="1"/>
      <c r="S207" s="1"/>
      <c r="BB207" s="9" t="str">
        <f t="shared" si="13"/>
        <v>Yes</v>
      </c>
      <c r="BC207" s="9" t="str">
        <f>IF(EFB!$N207=Table1[[#This Row],[ProgramTitle]],"Yes","No")</f>
        <v>Yes</v>
      </c>
      <c r="BD207" s="9" t="str">
        <f>IF(EFB!$S207=Table1[[#This Row],[SeriesEpisodeTitle]],"Yes","No")</f>
        <v>Yes</v>
      </c>
      <c r="BE207" s="11">
        <f t="shared" si="14"/>
        <v>0</v>
      </c>
      <c r="BF207" s="11">
        <f t="shared" si="15"/>
        <v>0</v>
      </c>
      <c r="BH207" s="21">
        <f>Table1[[#This Row],[StartTime]]+$BG$2</f>
        <v>4.1666666666666664E-2</v>
      </c>
    </row>
    <row r="208" spans="1:60" x14ac:dyDescent="0.25">
      <c r="A208" s="16"/>
      <c r="B208" s="2"/>
      <c r="D208" s="16"/>
      <c r="E208" s="16"/>
      <c r="G208" s="1"/>
      <c r="H208" s="1"/>
      <c r="I208" s="1"/>
      <c r="J208" s="1"/>
      <c r="K208" s="33"/>
      <c r="L208" s="22"/>
      <c r="M208" s="1"/>
      <c r="N208" s="1"/>
      <c r="O208" s="1"/>
      <c r="P208" s="1"/>
      <c r="Q208" s="1"/>
      <c r="R208" s="1"/>
      <c r="S208" s="1"/>
      <c r="BB208" s="9" t="str">
        <f t="shared" si="13"/>
        <v>Yes</v>
      </c>
      <c r="BC208" s="9" t="str">
        <f>IF(EFB!$N208=Table1[[#This Row],[ProgramTitle]],"Yes","No")</f>
        <v>Yes</v>
      </c>
      <c r="BD208" s="9" t="str">
        <f>IF(EFB!$S208=Table1[[#This Row],[SeriesEpisodeTitle]],"Yes","No")</f>
        <v>Yes</v>
      </c>
      <c r="BE208" s="11">
        <f t="shared" si="14"/>
        <v>0</v>
      </c>
      <c r="BF208" s="11">
        <f t="shared" si="15"/>
        <v>0</v>
      </c>
      <c r="BH208" s="21">
        <f>Table1[[#This Row],[StartTime]]+$BG$2</f>
        <v>4.1666666666666664E-2</v>
      </c>
    </row>
    <row r="209" spans="1:60" x14ac:dyDescent="0.25">
      <c r="A209" s="16"/>
      <c r="B209" s="2"/>
      <c r="D209" s="16"/>
      <c r="E209" s="16"/>
      <c r="G209" s="1"/>
      <c r="H209" s="1"/>
      <c r="I209" s="1"/>
      <c r="J209" s="1"/>
      <c r="K209" s="33"/>
      <c r="L209" s="22"/>
      <c r="M209" s="1"/>
      <c r="N209" s="1"/>
      <c r="O209" s="1"/>
      <c r="P209" s="1"/>
      <c r="Q209" s="1"/>
      <c r="R209" s="1"/>
      <c r="S209" s="1"/>
      <c r="BB209" s="9" t="str">
        <f t="shared" si="13"/>
        <v>Yes</v>
      </c>
      <c r="BC209" s="9" t="str">
        <f>IF(EFB!$N209=Table1[[#This Row],[ProgramTitle]],"Yes","No")</f>
        <v>Yes</v>
      </c>
      <c r="BD209" s="9" t="str">
        <f>IF(EFB!$S209=Table1[[#This Row],[SeriesEpisodeTitle]],"Yes","No")</f>
        <v>Yes</v>
      </c>
      <c r="BE209" s="11">
        <f t="shared" si="14"/>
        <v>0</v>
      </c>
      <c r="BF209" s="11">
        <f t="shared" si="15"/>
        <v>0</v>
      </c>
      <c r="BH209" s="21">
        <f>Table1[[#This Row],[StartTime]]+$BG$2</f>
        <v>4.1666666666666664E-2</v>
      </c>
    </row>
    <row r="210" spans="1:60" x14ac:dyDescent="0.25">
      <c r="A210" s="16"/>
      <c r="B210" s="2"/>
      <c r="D210" s="16"/>
      <c r="E210" s="16"/>
      <c r="G210" s="1"/>
      <c r="H210" s="1"/>
      <c r="I210" s="1"/>
      <c r="J210" s="1"/>
      <c r="K210" s="33"/>
      <c r="L210" s="22"/>
      <c r="M210" s="1"/>
      <c r="N210" s="1"/>
      <c r="O210" s="1"/>
      <c r="P210" s="1"/>
      <c r="Q210" s="1"/>
      <c r="R210" s="1"/>
      <c r="S210" s="1"/>
      <c r="BB210" s="9" t="str">
        <f t="shared" si="13"/>
        <v>Yes</v>
      </c>
      <c r="BC210" s="9" t="str">
        <f>IF(EFB!$N210=Table1[[#This Row],[ProgramTitle]],"Yes","No")</f>
        <v>Yes</v>
      </c>
      <c r="BD210" s="9" t="str">
        <f>IF(EFB!$S210=Table1[[#This Row],[SeriesEpisodeTitle]],"Yes","No")</f>
        <v>Yes</v>
      </c>
      <c r="BE210" s="11">
        <f t="shared" si="14"/>
        <v>0</v>
      </c>
      <c r="BF210" s="11">
        <f t="shared" si="15"/>
        <v>0</v>
      </c>
      <c r="BH210" s="21">
        <f>Table1[[#This Row],[StartTime]]+$BG$2</f>
        <v>4.1666666666666664E-2</v>
      </c>
    </row>
    <row r="211" spans="1:60" x14ac:dyDescent="0.25">
      <c r="A211" s="16"/>
      <c r="B211" s="2"/>
      <c r="D211" s="16"/>
      <c r="E211" s="16"/>
      <c r="G211" s="1"/>
      <c r="H211" s="1"/>
      <c r="I211" s="1"/>
      <c r="J211" s="1"/>
      <c r="K211" s="33"/>
      <c r="L211" s="22"/>
      <c r="M211" s="1"/>
      <c r="N211" s="1"/>
      <c r="O211" s="1"/>
      <c r="P211" s="1"/>
      <c r="Q211" s="1"/>
      <c r="R211" s="1"/>
      <c r="S211" s="1"/>
      <c r="BB211" s="9" t="str">
        <f t="shared" si="13"/>
        <v>Yes</v>
      </c>
      <c r="BC211" s="9" t="str">
        <f>IF(EFB!$N211=Table1[[#This Row],[ProgramTitle]],"Yes","No")</f>
        <v>Yes</v>
      </c>
      <c r="BD211" s="9" t="str">
        <f>IF(EFB!$S211=Table1[[#This Row],[SeriesEpisodeTitle]],"Yes","No")</f>
        <v>Yes</v>
      </c>
      <c r="BE211" s="11">
        <f t="shared" si="14"/>
        <v>0</v>
      </c>
      <c r="BF211" s="11">
        <f t="shared" si="15"/>
        <v>0</v>
      </c>
      <c r="BH211" s="21">
        <f>Table1[[#This Row],[StartTime]]+$BG$2</f>
        <v>4.1666666666666664E-2</v>
      </c>
    </row>
    <row r="212" spans="1:60" x14ac:dyDescent="0.25">
      <c r="A212" s="16"/>
      <c r="B212" s="2"/>
      <c r="D212" s="16"/>
      <c r="E212" s="16"/>
      <c r="G212" s="1"/>
      <c r="H212" s="1"/>
      <c r="I212" s="1"/>
      <c r="J212" s="1"/>
      <c r="K212" s="33"/>
      <c r="L212" s="22"/>
      <c r="M212" s="1"/>
      <c r="N212" s="1"/>
      <c r="O212" s="1"/>
      <c r="P212" s="1"/>
      <c r="Q212" s="1"/>
      <c r="R212" s="1"/>
      <c r="S212" s="1"/>
      <c r="BB212" s="9" t="str">
        <f t="shared" si="13"/>
        <v>Yes</v>
      </c>
      <c r="BC212" s="9" t="str">
        <f>IF(EFB!$N212=Table1[[#This Row],[ProgramTitle]],"Yes","No")</f>
        <v>Yes</v>
      </c>
      <c r="BD212" s="9" t="str">
        <f>IF(EFB!$S212=Table1[[#This Row],[SeriesEpisodeTitle]],"Yes","No")</f>
        <v>Yes</v>
      </c>
      <c r="BE212" s="11">
        <f t="shared" si="14"/>
        <v>0</v>
      </c>
      <c r="BF212" s="11">
        <f t="shared" si="15"/>
        <v>0</v>
      </c>
      <c r="BH212" s="21">
        <f>Table1[[#This Row],[StartTime]]+$BG$2</f>
        <v>4.1666666666666664E-2</v>
      </c>
    </row>
    <row r="213" spans="1:60" x14ac:dyDescent="0.25">
      <c r="A213" s="16"/>
      <c r="B213" s="2"/>
      <c r="D213" s="16"/>
      <c r="E213" s="16"/>
      <c r="G213" s="1"/>
      <c r="H213" s="1"/>
      <c r="I213" s="1"/>
      <c r="J213" s="1"/>
      <c r="K213" s="33"/>
      <c r="L213" s="22"/>
      <c r="M213" s="1"/>
      <c r="N213" s="1"/>
      <c r="O213" s="1"/>
      <c r="P213" s="1"/>
      <c r="Q213" s="1"/>
      <c r="R213" s="1"/>
      <c r="S213" s="1"/>
      <c r="BB213" s="9" t="str">
        <f t="shared" si="13"/>
        <v>Yes</v>
      </c>
      <c r="BC213" s="9" t="str">
        <f>IF(EFB!$N213=Table1[[#This Row],[ProgramTitle]],"Yes","No")</f>
        <v>Yes</v>
      </c>
      <c r="BD213" s="9" t="str">
        <f>IF(EFB!$S213=Table1[[#This Row],[SeriesEpisodeTitle]],"Yes","No")</f>
        <v>Yes</v>
      </c>
      <c r="BE213" s="11">
        <f t="shared" si="14"/>
        <v>0</v>
      </c>
      <c r="BF213" s="11">
        <f t="shared" si="15"/>
        <v>0</v>
      </c>
      <c r="BH213" s="21">
        <f>Table1[[#This Row],[StartTime]]+$BG$2</f>
        <v>4.1666666666666664E-2</v>
      </c>
    </row>
    <row r="214" spans="1:60" x14ac:dyDescent="0.25">
      <c r="A214" s="16"/>
      <c r="B214" s="2"/>
      <c r="D214" s="16"/>
      <c r="E214" s="16"/>
      <c r="G214" s="1"/>
      <c r="H214" s="1"/>
      <c r="I214" s="1"/>
      <c r="J214" s="1"/>
      <c r="K214" s="33"/>
      <c r="L214" s="22"/>
      <c r="M214" s="1"/>
      <c r="N214" s="1"/>
      <c r="O214" s="1"/>
      <c r="P214" s="1"/>
      <c r="Q214" s="1"/>
      <c r="R214" s="1"/>
      <c r="S214" s="1"/>
      <c r="BB214" s="9" t="str">
        <f t="shared" si="13"/>
        <v>Yes</v>
      </c>
      <c r="BC214" s="9" t="str">
        <f>IF(EFB!$N214=Table1[[#This Row],[ProgramTitle]],"Yes","No")</f>
        <v>Yes</v>
      </c>
      <c r="BD214" s="9" t="str">
        <f>IF(EFB!$S214=Table1[[#This Row],[SeriesEpisodeTitle]],"Yes","No")</f>
        <v>Yes</v>
      </c>
      <c r="BE214" s="11">
        <f t="shared" si="14"/>
        <v>0</v>
      </c>
      <c r="BF214" s="11">
        <f t="shared" si="15"/>
        <v>0</v>
      </c>
      <c r="BH214" s="21">
        <f>Table1[[#This Row],[StartTime]]+$BG$2</f>
        <v>4.1666666666666664E-2</v>
      </c>
    </row>
    <row r="215" spans="1:60" x14ac:dyDescent="0.25">
      <c r="A215" s="16"/>
      <c r="B215" s="2"/>
      <c r="D215" s="16"/>
      <c r="E215" s="16"/>
      <c r="G215" s="1"/>
      <c r="H215" s="1"/>
      <c r="I215" s="1"/>
      <c r="J215" s="1"/>
      <c r="K215" s="33"/>
      <c r="L215" s="22"/>
      <c r="M215" s="1"/>
      <c r="N215" s="1"/>
      <c r="O215" s="1"/>
      <c r="P215" s="1"/>
      <c r="Q215" s="1"/>
      <c r="R215" s="1"/>
      <c r="S215" s="1"/>
      <c r="BB215" s="9" t="str">
        <f t="shared" si="13"/>
        <v>Yes</v>
      </c>
      <c r="BC215" s="9" t="str">
        <f>IF(EFB!$N215=Table1[[#This Row],[ProgramTitle]],"Yes","No")</f>
        <v>Yes</v>
      </c>
      <c r="BD215" s="9" t="str">
        <f>IF(EFB!$S215=Table1[[#This Row],[SeriesEpisodeTitle]],"Yes","No")</f>
        <v>Yes</v>
      </c>
      <c r="BE215" s="11">
        <f t="shared" si="14"/>
        <v>0</v>
      </c>
      <c r="BF215" s="11">
        <f t="shared" si="15"/>
        <v>0</v>
      </c>
      <c r="BH215" s="21">
        <f>Table1[[#This Row],[StartTime]]+$BG$2</f>
        <v>4.1666666666666664E-2</v>
      </c>
    </row>
    <row r="216" spans="1:60" x14ac:dyDescent="0.25">
      <c r="A216" s="16"/>
      <c r="B216" s="2"/>
      <c r="D216" s="16"/>
      <c r="E216" s="16"/>
      <c r="G216" s="1"/>
      <c r="H216" s="1"/>
      <c r="I216" s="1"/>
      <c r="J216" s="1"/>
      <c r="K216" s="33"/>
      <c r="L216" s="22"/>
      <c r="M216" s="1"/>
      <c r="N216" s="1"/>
      <c r="O216" s="1"/>
      <c r="P216" s="1"/>
      <c r="Q216" s="1"/>
      <c r="R216" s="1"/>
      <c r="S216" s="1"/>
      <c r="BB216" s="9" t="str">
        <f t="shared" si="13"/>
        <v>Yes</v>
      </c>
      <c r="BC216" s="9" t="str">
        <f>IF(EFB!$N216=Table1[[#This Row],[ProgramTitle]],"Yes","No")</f>
        <v>Yes</v>
      </c>
      <c r="BD216" s="9" t="str">
        <f>IF(EFB!$S216=Table1[[#This Row],[SeriesEpisodeTitle]],"Yes","No")</f>
        <v>Yes</v>
      </c>
      <c r="BE216" s="11">
        <f t="shared" si="14"/>
        <v>0</v>
      </c>
      <c r="BF216" s="11">
        <f t="shared" si="15"/>
        <v>0</v>
      </c>
      <c r="BH216" s="21">
        <f>Table1[[#This Row],[StartTime]]+$BG$2</f>
        <v>4.1666666666666664E-2</v>
      </c>
    </row>
    <row r="217" spans="1:60" x14ac:dyDescent="0.25">
      <c r="A217" s="16"/>
      <c r="B217" s="2"/>
      <c r="D217" s="16"/>
      <c r="E217" s="16"/>
      <c r="G217" s="1"/>
      <c r="H217" s="1"/>
      <c r="I217" s="1"/>
      <c r="J217" s="1"/>
      <c r="K217" s="33"/>
      <c r="L217" s="22"/>
      <c r="M217" s="1"/>
      <c r="N217" s="1"/>
      <c r="O217" s="1"/>
      <c r="P217" s="1"/>
      <c r="Q217" s="1"/>
      <c r="R217" s="1"/>
      <c r="S217" s="1"/>
      <c r="BB217" s="9" t="str">
        <f t="shared" si="13"/>
        <v>Yes</v>
      </c>
      <c r="BC217" s="9" t="str">
        <f>IF(EFB!$N217=Table1[[#This Row],[ProgramTitle]],"Yes","No")</f>
        <v>Yes</v>
      </c>
      <c r="BD217" s="9" t="str">
        <f>IF(EFB!$S217=Table1[[#This Row],[SeriesEpisodeTitle]],"Yes","No")</f>
        <v>Yes</v>
      </c>
      <c r="BE217" s="11">
        <f t="shared" si="14"/>
        <v>0</v>
      </c>
      <c r="BF217" s="11">
        <f t="shared" si="15"/>
        <v>0</v>
      </c>
      <c r="BH217" s="21">
        <f>Table1[[#This Row],[StartTime]]+$BG$2</f>
        <v>4.1666666666666664E-2</v>
      </c>
    </row>
    <row r="218" spans="1:60" x14ac:dyDescent="0.25">
      <c r="A218" s="16"/>
      <c r="B218" s="2"/>
      <c r="D218" s="16"/>
      <c r="E218" s="16"/>
      <c r="G218" s="1"/>
      <c r="H218" s="1"/>
      <c r="I218" s="1"/>
      <c r="J218" s="1"/>
      <c r="K218" s="33"/>
      <c r="L218" s="22"/>
      <c r="M218" s="1"/>
      <c r="N218" s="1"/>
      <c r="O218" s="1"/>
      <c r="P218" s="1"/>
      <c r="Q218" s="1"/>
      <c r="R218" s="1"/>
      <c r="S218" s="1"/>
      <c r="BB218" s="9" t="str">
        <f t="shared" si="13"/>
        <v>Yes</v>
      </c>
      <c r="BC218" s="9" t="str">
        <f>IF(EFB!$N218=Table1[[#This Row],[ProgramTitle]],"Yes","No")</f>
        <v>Yes</v>
      </c>
      <c r="BD218" s="9" t="str">
        <f>IF(EFB!$S218=Table1[[#This Row],[SeriesEpisodeTitle]],"Yes","No")</f>
        <v>Yes</v>
      </c>
      <c r="BE218" s="11">
        <f t="shared" si="14"/>
        <v>0</v>
      </c>
      <c r="BF218" s="11">
        <f t="shared" si="15"/>
        <v>0</v>
      </c>
      <c r="BH218" s="21">
        <f>Table1[[#This Row],[StartTime]]+$BG$2</f>
        <v>4.1666666666666664E-2</v>
      </c>
    </row>
    <row r="219" spans="1:60" x14ac:dyDescent="0.25">
      <c r="A219" s="16"/>
      <c r="B219" s="2"/>
      <c r="D219" s="16"/>
      <c r="E219" s="16"/>
      <c r="G219" s="1"/>
      <c r="H219" s="1"/>
      <c r="I219" s="1"/>
      <c r="J219" s="1"/>
      <c r="K219" s="33"/>
      <c r="L219" s="22"/>
      <c r="M219" s="1"/>
      <c r="N219" s="1"/>
      <c r="O219" s="1"/>
      <c r="P219" s="1"/>
      <c r="Q219" s="1"/>
      <c r="R219" s="1"/>
      <c r="S219" s="1"/>
      <c r="BB219" s="9" t="str">
        <f t="shared" si="13"/>
        <v>Yes</v>
      </c>
      <c r="BC219" s="9" t="str">
        <f>IF(EFB!$N219=Table1[[#This Row],[ProgramTitle]],"Yes","No")</f>
        <v>Yes</v>
      </c>
      <c r="BD219" s="9" t="str">
        <f>IF(EFB!$S219=Table1[[#This Row],[SeriesEpisodeTitle]],"Yes","No")</f>
        <v>Yes</v>
      </c>
      <c r="BE219" s="11">
        <f t="shared" si="14"/>
        <v>0</v>
      </c>
      <c r="BF219" s="11">
        <f t="shared" si="15"/>
        <v>0</v>
      </c>
      <c r="BH219" s="21">
        <f>Table1[[#This Row],[StartTime]]+$BG$2</f>
        <v>4.1666666666666664E-2</v>
      </c>
    </row>
    <row r="220" spans="1:60" x14ac:dyDescent="0.25">
      <c r="A220" s="16"/>
      <c r="B220" s="2"/>
      <c r="D220" s="16"/>
      <c r="E220" s="16"/>
      <c r="G220" s="1"/>
      <c r="H220" s="1"/>
      <c r="I220" s="1"/>
      <c r="J220" s="1"/>
      <c r="K220" s="33"/>
      <c r="L220" s="22"/>
      <c r="M220" s="1"/>
      <c r="N220" s="1"/>
      <c r="O220" s="1"/>
      <c r="P220" s="1"/>
      <c r="Q220" s="1"/>
      <c r="R220" s="1"/>
      <c r="S220" s="1"/>
      <c r="BB220" s="9" t="str">
        <f t="shared" si="13"/>
        <v>Yes</v>
      </c>
      <c r="BC220" s="9" t="str">
        <f>IF(EFB!$N220=Table1[[#This Row],[ProgramTitle]],"Yes","No")</f>
        <v>Yes</v>
      </c>
      <c r="BD220" s="9" t="str">
        <f>IF(EFB!$S220=Table1[[#This Row],[SeriesEpisodeTitle]],"Yes","No")</f>
        <v>Yes</v>
      </c>
      <c r="BE220" s="11">
        <f t="shared" si="14"/>
        <v>0</v>
      </c>
      <c r="BF220" s="11">
        <f t="shared" si="15"/>
        <v>0</v>
      </c>
      <c r="BH220" s="21">
        <f>Table1[[#This Row],[StartTime]]+$BG$2</f>
        <v>4.1666666666666664E-2</v>
      </c>
    </row>
    <row r="221" spans="1:60" x14ac:dyDescent="0.25">
      <c r="A221" s="16"/>
      <c r="B221" s="2"/>
      <c r="D221" s="16"/>
      <c r="E221" s="16"/>
      <c r="G221" s="1"/>
      <c r="H221" s="1"/>
      <c r="I221" s="1"/>
      <c r="J221" s="1"/>
      <c r="K221" s="33"/>
      <c r="L221" s="22"/>
      <c r="M221" s="1"/>
      <c r="N221" s="1"/>
      <c r="O221" s="1"/>
      <c r="P221" s="1"/>
      <c r="Q221" s="1"/>
      <c r="R221" s="1"/>
      <c r="S221" s="1"/>
      <c r="BB221" s="9" t="str">
        <f t="shared" si="13"/>
        <v>Yes</v>
      </c>
      <c r="BC221" s="9" t="str">
        <f>IF(EFB!$N221=Table1[[#This Row],[ProgramTitle]],"Yes","No")</f>
        <v>Yes</v>
      </c>
      <c r="BD221" s="9" t="str">
        <f>IF(EFB!$S221=Table1[[#This Row],[SeriesEpisodeTitle]],"Yes","No")</f>
        <v>Yes</v>
      </c>
      <c r="BE221" s="11">
        <f t="shared" si="14"/>
        <v>0</v>
      </c>
      <c r="BF221" s="11">
        <f t="shared" si="15"/>
        <v>0</v>
      </c>
      <c r="BH221" s="21">
        <f>Table1[[#This Row],[StartTime]]+$BG$2</f>
        <v>4.1666666666666664E-2</v>
      </c>
    </row>
    <row r="222" spans="1:60" x14ac:dyDescent="0.25">
      <c r="A222" s="16"/>
      <c r="B222" s="2"/>
      <c r="D222" s="16"/>
      <c r="E222" s="16"/>
      <c r="G222" s="1"/>
      <c r="H222" s="1"/>
      <c r="I222" s="1"/>
      <c r="J222" s="1"/>
      <c r="K222" s="33"/>
      <c r="L222" s="22"/>
      <c r="M222" s="1"/>
      <c r="N222" s="1"/>
      <c r="O222" s="1"/>
      <c r="P222" s="1"/>
      <c r="Q222" s="1"/>
      <c r="R222" s="1"/>
      <c r="S222" s="1"/>
      <c r="BB222" s="9" t="str">
        <f t="shared" si="13"/>
        <v>Yes</v>
      </c>
      <c r="BC222" s="9" t="str">
        <f>IF(EFB!$N222=Table1[[#This Row],[ProgramTitle]],"Yes","No")</f>
        <v>Yes</v>
      </c>
      <c r="BD222" s="9" t="str">
        <f>IF(EFB!$S222=Table1[[#This Row],[SeriesEpisodeTitle]],"Yes","No")</f>
        <v>Yes</v>
      </c>
      <c r="BE222" s="11">
        <f t="shared" si="14"/>
        <v>0</v>
      </c>
      <c r="BF222" s="11">
        <f t="shared" si="15"/>
        <v>0</v>
      </c>
      <c r="BH222" s="21">
        <f>Table1[[#This Row],[StartTime]]+$BG$2</f>
        <v>4.1666666666666664E-2</v>
      </c>
    </row>
    <row r="223" spans="1:60" x14ac:dyDescent="0.25">
      <c r="A223" s="16"/>
      <c r="B223" s="2"/>
      <c r="D223" s="16"/>
      <c r="E223" s="16"/>
      <c r="G223" s="1"/>
      <c r="H223" s="1"/>
      <c r="I223" s="1"/>
      <c r="J223" s="1"/>
      <c r="K223" s="33"/>
      <c r="L223" s="22"/>
      <c r="M223" s="1"/>
      <c r="N223" s="1"/>
      <c r="O223" s="1"/>
      <c r="P223" s="1"/>
      <c r="Q223" s="1"/>
      <c r="R223" s="1"/>
      <c r="S223" s="1"/>
      <c r="BB223" s="9" t="str">
        <f t="shared" si="13"/>
        <v>Yes</v>
      </c>
      <c r="BC223" s="9" t="str">
        <f>IF(EFB!$N223=Table1[[#This Row],[ProgramTitle]],"Yes","No")</f>
        <v>Yes</v>
      </c>
      <c r="BD223" s="9" t="str">
        <f>IF(EFB!$S223=Table1[[#This Row],[SeriesEpisodeTitle]],"Yes","No")</f>
        <v>Yes</v>
      </c>
      <c r="BE223" s="11">
        <f t="shared" si="14"/>
        <v>0</v>
      </c>
      <c r="BF223" s="11">
        <f t="shared" si="15"/>
        <v>0</v>
      </c>
      <c r="BH223" s="21">
        <f>Table1[[#This Row],[StartTime]]+$BG$2</f>
        <v>4.1666666666666664E-2</v>
      </c>
    </row>
    <row r="224" spans="1:60" x14ac:dyDescent="0.25">
      <c r="A224" s="16"/>
      <c r="B224" s="2"/>
      <c r="D224" s="16"/>
      <c r="E224" s="16"/>
      <c r="G224" s="1"/>
      <c r="H224" s="1"/>
      <c r="I224" s="1"/>
      <c r="J224" s="1"/>
      <c r="K224" s="33"/>
      <c r="L224" s="22"/>
      <c r="M224" s="1"/>
      <c r="N224" s="1"/>
      <c r="O224" s="1"/>
      <c r="P224" s="1"/>
      <c r="Q224" s="1"/>
      <c r="R224" s="1"/>
      <c r="S224" s="1"/>
      <c r="BB224" s="9" t="str">
        <f t="shared" si="13"/>
        <v>Yes</v>
      </c>
      <c r="BC224" s="9" t="str">
        <f>IF(EFB!$N224=Table1[[#This Row],[ProgramTitle]],"Yes","No")</f>
        <v>Yes</v>
      </c>
      <c r="BD224" s="9" t="str">
        <f>IF(EFB!$S224=Table1[[#This Row],[SeriesEpisodeTitle]],"Yes","No")</f>
        <v>Yes</v>
      </c>
      <c r="BE224" s="11">
        <f t="shared" si="14"/>
        <v>0</v>
      </c>
      <c r="BF224" s="11">
        <f t="shared" si="15"/>
        <v>0</v>
      </c>
      <c r="BH224" s="21">
        <f>Table1[[#This Row],[StartTime]]+$BG$2</f>
        <v>4.1666666666666664E-2</v>
      </c>
    </row>
    <row r="225" spans="1:60" x14ac:dyDescent="0.25">
      <c r="A225" s="16"/>
      <c r="B225" s="2"/>
      <c r="D225" s="16"/>
      <c r="E225" s="16"/>
      <c r="G225" s="1"/>
      <c r="H225" s="1"/>
      <c r="I225" s="1"/>
      <c r="J225" s="1"/>
      <c r="K225" s="33"/>
      <c r="L225" s="22"/>
      <c r="M225" s="1"/>
      <c r="N225" s="1"/>
      <c r="O225" s="1"/>
      <c r="P225" s="1"/>
      <c r="Q225" s="1"/>
      <c r="R225" s="1"/>
      <c r="S225" s="1"/>
      <c r="BB225" s="9" t="str">
        <f t="shared" si="13"/>
        <v>Yes</v>
      </c>
      <c r="BC225" s="9" t="str">
        <f>IF(EFB!$N225=Table1[[#This Row],[ProgramTitle]],"Yes","No")</f>
        <v>Yes</v>
      </c>
      <c r="BD225" s="9" t="str">
        <f>IF(EFB!$S225=Table1[[#This Row],[SeriesEpisodeTitle]],"Yes","No")</f>
        <v>Yes</v>
      </c>
      <c r="BE225" s="11">
        <f t="shared" si="14"/>
        <v>0</v>
      </c>
      <c r="BF225" s="11">
        <f t="shared" si="15"/>
        <v>0</v>
      </c>
      <c r="BH225" s="21">
        <f>Table1[[#This Row],[StartTime]]+$BG$2</f>
        <v>4.1666666666666664E-2</v>
      </c>
    </row>
    <row r="226" spans="1:60" x14ac:dyDescent="0.25">
      <c r="A226" s="16"/>
      <c r="B226" s="2"/>
      <c r="D226" s="16"/>
      <c r="E226" s="16"/>
      <c r="G226" s="1"/>
      <c r="H226" s="1"/>
      <c r="I226" s="1"/>
      <c r="J226" s="1"/>
      <c r="K226" s="33"/>
      <c r="L226" s="22"/>
      <c r="M226" s="1"/>
      <c r="N226" s="1"/>
      <c r="O226" s="1"/>
      <c r="P226" s="1"/>
      <c r="Q226" s="1"/>
      <c r="R226" s="1"/>
      <c r="S226" s="1"/>
      <c r="BB226" s="9" t="str">
        <f t="shared" si="13"/>
        <v>Yes</v>
      </c>
      <c r="BC226" s="9" t="str">
        <f>IF(EFB!$N226=Table1[[#This Row],[ProgramTitle]],"Yes","No")</f>
        <v>Yes</v>
      </c>
      <c r="BD226" s="9" t="str">
        <f>IF(EFB!$S226=Table1[[#This Row],[SeriesEpisodeTitle]],"Yes","No")</f>
        <v>Yes</v>
      </c>
      <c r="BE226" s="11">
        <f t="shared" si="14"/>
        <v>0</v>
      </c>
      <c r="BF226" s="11">
        <f t="shared" si="15"/>
        <v>0</v>
      </c>
      <c r="BH226" s="21">
        <f>Table1[[#This Row],[StartTime]]+$BG$2</f>
        <v>4.1666666666666664E-2</v>
      </c>
    </row>
    <row r="227" spans="1:60" x14ac:dyDescent="0.25">
      <c r="A227" s="16"/>
      <c r="B227" s="2"/>
      <c r="D227" s="16"/>
      <c r="E227" s="16"/>
      <c r="G227" s="1"/>
      <c r="H227" s="1"/>
      <c r="I227" s="1"/>
      <c r="J227" s="1"/>
      <c r="K227" s="33"/>
      <c r="L227" s="22"/>
      <c r="M227" s="1"/>
      <c r="N227" s="1"/>
      <c r="O227" s="1"/>
      <c r="P227" s="1"/>
      <c r="Q227" s="1"/>
      <c r="R227" s="1"/>
      <c r="S227" s="1"/>
      <c r="BB227" s="9" t="str">
        <f t="shared" si="13"/>
        <v>Yes</v>
      </c>
      <c r="BC227" s="9" t="str">
        <f>IF(EFB!$N227=Table1[[#This Row],[ProgramTitle]],"Yes","No")</f>
        <v>Yes</v>
      </c>
      <c r="BD227" s="9" t="str">
        <f>IF(EFB!$S227=Table1[[#This Row],[SeriesEpisodeTitle]],"Yes","No")</f>
        <v>Yes</v>
      </c>
      <c r="BE227" s="11">
        <f t="shared" si="14"/>
        <v>0</v>
      </c>
      <c r="BF227" s="11">
        <f t="shared" si="15"/>
        <v>0</v>
      </c>
      <c r="BH227" s="21">
        <f>Table1[[#This Row],[StartTime]]+$BG$2</f>
        <v>4.1666666666666664E-2</v>
      </c>
    </row>
    <row r="228" spans="1:60" x14ac:dyDescent="0.25">
      <c r="A228" s="16"/>
      <c r="B228" s="2"/>
      <c r="D228" s="16"/>
      <c r="E228" s="16"/>
      <c r="G228" s="1"/>
      <c r="H228" s="1"/>
      <c r="I228" s="1"/>
      <c r="J228" s="1"/>
      <c r="K228" s="33"/>
      <c r="L228" s="22"/>
      <c r="M228" s="1"/>
      <c r="N228" s="1"/>
      <c r="O228" s="1"/>
      <c r="P228" s="1"/>
      <c r="Q228" s="1"/>
      <c r="R228" s="1"/>
      <c r="S228" s="1"/>
      <c r="BB228" s="9" t="str">
        <f t="shared" si="13"/>
        <v>Yes</v>
      </c>
      <c r="BC228" s="9" t="str">
        <f>IF(EFB!$N228=Table1[[#This Row],[ProgramTitle]],"Yes","No")</f>
        <v>Yes</v>
      </c>
      <c r="BD228" s="9" t="str">
        <f>IF(EFB!$S228=Table1[[#This Row],[SeriesEpisodeTitle]],"Yes","No")</f>
        <v>Yes</v>
      </c>
      <c r="BE228" s="11">
        <f t="shared" si="14"/>
        <v>0</v>
      </c>
      <c r="BF228" s="11">
        <f t="shared" si="15"/>
        <v>0</v>
      </c>
      <c r="BH228" s="21">
        <f>Table1[[#This Row],[StartTime]]+$BG$2</f>
        <v>4.1666666666666664E-2</v>
      </c>
    </row>
    <row r="229" spans="1:60" x14ac:dyDescent="0.25">
      <c r="A229" s="16"/>
      <c r="B229" s="2"/>
      <c r="D229" s="16"/>
      <c r="E229" s="16"/>
      <c r="G229" s="1"/>
      <c r="H229" s="1"/>
      <c r="I229" s="1"/>
      <c r="J229" s="1"/>
      <c r="K229" s="33"/>
      <c r="L229" s="22"/>
      <c r="M229" s="1"/>
      <c r="N229" s="1"/>
      <c r="O229" s="1"/>
      <c r="P229" s="1"/>
      <c r="Q229" s="1"/>
      <c r="R229" s="1"/>
      <c r="S229" s="1"/>
      <c r="BB229" s="9" t="str">
        <f t="shared" si="13"/>
        <v>Yes</v>
      </c>
      <c r="BC229" s="9" t="str">
        <f>IF(EFB!$N229=Table1[[#This Row],[ProgramTitle]],"Yes","No")</f>
        <v>Yes</v>
      </c>
      <c r="BD229" s="9" t="str">
        <f>IF(EFB!$S229=Table1[[#This Row],[SeriesEpisodeTitle]],"Yes","No")</f>
        <v>Yes</v>
      </c>
      <c r="BE229" s="11">
        <f t="shared" si="14"/>
        <v>0</v>
      </c>
      <c r="BF229" s="11">
        <f t="shared" si="15"/>
        <v>0</v>
      </c>
      <c r="BH229" s="21">
        <f>Table1[[#This Row],[StartTime]]+$BG$2</f>
        <v>4.1666666666666664E-2</v>
      </c>
    </row>
    <row r="230" spans="1:60" x14ac:dyDescent="0.25">
      <c r="A230" s="16"/>
      <c r="B230" s="2"/>
      <c r="D230" s="16"/>
      <c r="E230" s="16"/>
      <c r="G230" s="1"/>
      <c r="H230" s="1"/>
      <c r="I230" s="1"/>
      <c r="J230" s="1"/>
      <c r="K230" s="33"/>
      <c r="L230" s="22"/>
      <c r="M230" s="1"/>
      <c r="N230" s="1"/>
      <c r="O230" s="1"/>
      <c r="P230" s="1"/>
      <c r="Q230" s="1"/>
      <c r="R230" s="1"/>
      <c r="S230" s="1"/>
      <c r="BB230" s="9" t="str">
        <f t="shared" si="13"/>
        <v>Yes</v>
      </c>
      <c r="BC230" s="9" t="str">
        <f>IF(EFB!$N230=Table1[[#This Row],[ProgramTitle]],"Yes","No")</f>
        <v>Yes</v>
      </c>
      <c r="BD230" s="9" t="str">
        <f>IF(EFB!$S230=Table1[[#This Row],[SeriesEpisodeTitle]],"Yes","No")</f>
        <v>Yes</v>
      </c>
      <c r="BE230" s="11">
        <f t="shared" si="14"/>
        <v>0</v>
      </c>
      <c r="BF230" s="11">
        <f t="shared" si="15"/>
        <v>0</v>
      </c>
      <c r="BH230" s="21">
        <f>Table1[[#This Row],[StartTime]]+$BG$2</f>
        <v>4.1666666666666664E-2</v>
      </c>
    </row>
    <row r="231" spans="1:60" x14ac:dyDescent="0.25">
      <c r="A231" s="16"/>
      <c r="B231" s="2"/>
      <c r="D231" s="16"/>
      <c r="E231" s="16"/>
      <c r="G231" s="1"/>
      <c r="H231" s="1"/>
      <c r="I231" s="1"/>
      <c r="J231" s="1"/>
      <c r="K231" s="33"/>
      <c r="L231" s="22"/>
      <c r="M231" s="1"/>
      <c r="N231" s="1"/>
      <c r="O231" s="1"/>
      <c r="P231" s="1"/>
      <c r="Q231" s="1"/>
      <c r="R231" s="1"/>
      <c r="S231" s="1"/>
      <c r="BB231" s="9" t="str">
        <f t="shared" si="13"/>
        <v>Yes</v>
      </c>
      <c r="BC231" s="9" t="str">
        <f>IF(EFB!$N231=Table1[[#This Row],[ProgramTitle]],"Yes","No")</f>
        <v>Yes</v>
      </c>
      <c r="BD231" s="9" t="str">
        <f>IF(EFB!$S231=Table1[[#This Row],[SeriesEpisodeTitle]],"Yes","No")</f>
        <v>Yes</v>
      </c>
      <c r="BE231" s="11">
        <f t="shared" si="14"/>
        <v>0</v>
      </c>
      <c r="BF231" s="11">
        <f t="shared" si="15"/>
        <v>0</v>
      </c>
      <c r="BH231" s="21">
        <f>Table1[[#This Row],[StartTime]]+$BG$2</f>
        <v>4.1666666666666664E-2</v>
      </c>
    </row>
    <row r="232" spans="1:60" x14ac:dyDescent="0.25">
      <c r="A232" s="16"/>
      <c r="B232" s="2"/>
      <c r="D232" s="16"/>
      <c r="E232" s="16"/>
      <c r="G232" s="1"/>
      <c r="H232" s="1"/>
      <c r="I232" s="1"/>
      <c r="J232" s="1"/>
      <c r="K232" s="33"/>
      <c r="L232" s="22"/>
      <c r="M232" s="1"/>
      <c r="N232" s="1"/>
      <c r="O232" s="1"/>
      <c r="P232" s="1"/>
      <c r="Q232" s="1"/>
      <c r="R232" s="1"/>
      <c r="S232" s="1"/>
      <c r="BB232" s="9" t="str">
        <f t="shared" si="13"/>
        <v>Yes</v>
      </c>
      <c r="BC232" s="9" t="str">
        <f>IF(EFB!$N232=Table1[[#This Row],[ProgramTitle]],"Yes","No")</f>
        <v>Yes</v>
      </c>
      <c r="BD232" s="9" t="str">
        <f>IF(EFB!$S232=Table1[[#This Row],[SeriesEpisodeTitle]],"Yes","No")</f>
        <v>Yes</v>
      </c>
      <c r="BE232" s="11">
        <f t="shared" si="14"/>
        <v>0</v>
      </c>
      <c r="BF232" s="11">
        <f t="shared" si="15"/>
        <v>0</v>
      </c>
      <c r="BH232" s="21">
        <f>Table1[[#This Row],[StartTime]]+$BG$2</f>
        <v>4.1666666666666664E-2</v>
      </c>
    </row>
    <row r="233" spans="1:60" x14ac:dyDescent="0.25">
      <c r="A233" s="16"/>
      <c r="B233" s="2"/>
      <c r="D233" s="16"/>
      <c r="E233" s="16"/>
      <c r="G233" s="1"/>
      <c r="H233" s="1"/>
      <c r="I233" s="1"/>
      <c r="J233" s="1"/>
      <c r="K233" s="33"/>
      <c r="L233" s="22"/>
      <c r="M233" s="1"/>
      <c r="N233" s="1"/>
      <c r="O233" s="1"/>
      <c r="P233" s="1"/>
      <c r="Q233" s="1"/>
      <c r="R233" s="1"/>
      <c r="S233" s="1"/>
      <c r="BB233" s="9" t="str">
        <f t="shared" si="13"/>
        <v>Yes</v>
      </c>
      <c r="BC233" s="9" t="str">
        <f>IF(EFB!$N233=Table1[[#This Row],[ProgramTitle]],"Yes","No")</f>
        <v>Yes</v>
      </c>
      <c r="BD233" s="9" t="str">
        <f>IF(EFB!$S233=Table1[[#This Row],[SeriesEpisodeTitle]],"Yes","No")</f>
        <v>Yes</v>
      </c>
      <c r="BE233" s="11">
        <f t="shared" si="14"/>
        <v>0</v>
      </c>
      <c r="BF233" s="11">
        <f t="shared" si="15"/>
        <v>0</v>
      </c>
      <c r="BH233" s="21">
        <f>Table1[[#This Row],[StartTime]]+$BG$2</f>
        <v>4.1666666666666664E-2</v>
      </c>
    </row>
    <row r="234" spans="1:60" x14ac:dyDescent="0.25">
      <c r="A234" s="16"/>
      <c r="B234" s="2"/>
      <c r="D234" s="16"/>
      <c r="E234" s="16"/>
      <c r="G234" s="1"/>
      <c r="H234" s="1"/>
      <c r="I234" s="1"/>
      <c r="J234" s="1"/>
      <c r="K234" s="33"/>
      <c r="L234" s="22"/>
      <c r="M234" s="1"/>
      <c r="N234" s="1"/>
      <c r="O234" s="1"/>
      <c r="P234" s="1"/>
      <c r="Q234" s="1"/>
      <c r="R234" s="1"/>
      <c r="S234" s="1"/>
      <c r="BB234" s="9" t="str">
        <f t="shared" si="13"/>
        <v>Yes</v>
      </c>
      <c r="BC234" s="9" t="str">
        <f>IF(EFB!$N234=Table1[[#This Row],[ProgramTitle]],"Yes","No")</f>
        <v>Yes</v>
      </c>
      <c r="BD234" s="9" t="str">
        <f>IF(EFB!$S234=Table1[[#This Row],[SeriesEpisodeTitle]],"Yes","No")</f>
        <v>Yes</v>
      </c>
      <c r="BE234" s="11">
        <f t="shared" si="14"/>
        <v>0</v>
      </c>
      <c r="BF234" s="11">
        <f t="shared" si="15"/>
        <v>0</v>
      </c>
      <c r="BH234" s="21">
        <f>Table1[[#This Row],[StartTime]]+$BG$2</f>
        <v>4.1666666666666664E-2</v>
      </c>
    </row>
    <row r="235" spans="1:60" x14ac:dyDescent="0.25">
      <c r="A235" s="16"/>
      <c r="B235" s="2"/>
      <c r="D235" s="16"/>
      <c r="E235" s="16"/>
      <c r="G235" s="1"/>
      <c r="H235" s="1"/>
      <c r="I235" s="1"/>
      <c r="J235" s="1"/>
      <c r="K235" s="33"/>
      <c r="L235" s="22"/>
      <c r="M235" s="1"/>
      <c r="N235" s="1"/>
      <c r="O235" s="1"/>
      <c r="P235" s="1"/>
      <c r="Q235" s="1"/>
      <c r="R235" s="1"/>
      <c r="S235" s="1"/>
      <c r="BB235" s="9" t="str">
        <f t="shared" si="13"/>
        <v>Yes</v>
      </c>
      <c r="BC235" s="9" t="str">
        <f>IF(EFB!$N235=Table1[[#This Row],[ProgramTitle]],"Yes","No")</f>
        <v>Yes</v>
      </c>
      <c r="BD235" s="9" t="str">
        <f>IF(EFB!$S235=Table1[[#This Row],[SeriesEpisodeTitle]],"Yes","No")</f>
        <v>Yes</v>
      </c>
      <c r="BE235" s="11">
        <f t="shared" si="14"/>
        <v>0</v>
      </c>
      <c r="BF235" s="11">
        <f t="shared" si="15"/>
        <v>0</v>
      </c>
      <c r="BH235" s="21">
        <f>Table1[[#This Row],[StartTime]]+$BG$2</f>
        <v>4.1666666666666664E-2</v>
      </c>
    </row>
    <row r="236" spans="1:60" x14ac:dyDescent="0.25">
      <c r="A236" s="16"/>
      <c r="B236" s="2"/>
      <c r="D236" s="16"/>
      <c r="E236" s="16"/>
      <c r="G236" s="1"/>
      <c r="H236" s="1"/>
      <c r="I236" s="1"/>
      <c r="J236" s="1"/>
      <c r="K236" s="33"/>
      <c r="L236" s="22"/>
      <c r="M236" s="1"/>
      <c r="N236" s="1"/>
      <c r="O236" s="1"/>
      <c r="P236" s="1"/>
      <c r="Q236" s="1"/>
      <c r="R236" s="1"/>
      <c r="S236" s="1"/>
      <c r="BB236" s="9" t="str">
        <f t="shared" si="13"/>
        <v>Yes</v>
      </c>
      <c r="BC236" s="9" t="str">
        <f>IF(EFB!$N236=Table1[[#This Row],[ProgramTitle]],"Yes","No")</f>
        <v>Yes</v>
      </c>
      <c r="BD236" s="9" t="str">
        <f>IF(EFB!$S236=Table1[[#This Row],[SeriesEpisodeTitle]],"Yes","No")</f>
        <v>Yes</v>
      </c>
      <c r="BE236" s="11">
        <f t="shared" si="14"/>
        <v>0</v>
      </c>
      <c r="BF236" s="11">
        <f t="shared" si="15"/>
        <v>0</v>
      </c>
      <c r="BH236" s="21">
        <f>Table1[[#This Row],[StartTime]]+$BG$2</f>
        <v>4.1666666666666664E-2</v>
      </c>
    </row>
    <row r="237" spans="1:60" x14ac:dyDescent="0.25">
      <c r="A237" s="16"/>
      <c r="B237" s="2"/>
      <c r="D237" s="16"/>
      <c r="E237" s="16"/>
      <c r="G237" s="1"/>
      <c r="H237" s="1"/>
      <c r="I237" s="1"/>
      <c r="J237" s="1"/>
      <c r="K237" s="33"/>
      <c r="L237" s="22"/>
      <c r="M237" s="1"/>
      <c r="N237" s="1"/>
      <c r="O237" s="1"/>
      <c r="P237" s="1"/>
      <c r="Q237" s="1"/>
      <c r="R237" s="1"/>
      <c r="S237" s="1"/>
      <c r="BB237" s="9" t="str">
        <f t="shared" si="13"/>
        <v>Yes</v>
      </c>
      <c r="BC237" s="9" t="str">
        <f>IF(EFB!$N237=Table1[[#This Row],[ProgramTitle]],"Yes","No")</f>
        <v>Yes</v>
      </c>
      <c r="BD237" s="9" t="str">
        <f>IF(EFB!$S237=Table1[[#This Row],[SeriesEpisodeTitle]],"Yes","No")</f>
        <v>Yes</v>
      </c>
      <c r="BE237" s="11">
        <f t="shared" si="14"/>
        <v>0</v>
      </c>
      <c r="BF237" s="11">
        <f t="shared" si="15"/>
        <v>0</v>
      </c>
      <c r="BH237" s="21">
        <f>Table1[[#This Row],[StartTime]]+$BG$2</f>
        <v>4.1666666666666664E-2</v>
      </c>
    </row>
    <row r="238" spans="1:60" x14ac:dyDescent="0.25">
      <c r="A238" s="16"/>
      <c r="B238" s="2"/>
      <c r="D238" s="16"/>
      <c r="E238" s="16"/>
      <c r="G238" s="1"/>
      <c r="H238" s="1"/>
      <c r="I238" s="1"/>
      <c r="J238" s="1"/>
      <c r="K238" s="33"/>
      <c r="L238" s="22"/>
      <c r="M238" s="1"/>
      <c r="N238" s="1"/>
      <c r="O238" s="1"/>
      <c r="P238" s="1"/>
      <c r="Q238" s="1"/>
      <c r="R238" s="1"/>
      <c r="S238" s="1"/>
      <c r="BB238" s="9" t="str">
        <f t="shared" si="13"/>
        <v>Yes</v>
      </c>
      <c r="BC238" s="9" t="str">
        <f>IF(EFB!$N238=Table1[[#This Row],[ProgramTitle]],"Yes","No")</f>
        <v>Yes</v>
      </c>
      <c r="BD238" s="9" t="str">
        <f>IF(EFB!$S238=Table1[[#This Row],[SeriesEpisodeTitle]],"Yes","No")</f>
        <v>Yes</v>
      </c>
      <c r="BE238" s="11">
        <f t="shared" si="14"/>
        <v>0</v>
      </c>
      <c r="BF238" s="11">
        <f t="shared" si="15"/>
        <v>0</v>
      </c>
      <c r="BH238" s="21">
        <f>Table1[[#This Row],[StartTime]]+$BG$2</f>
        <v>4.1666666666666664E-2</v>
      </c>
    </row>
    <row r="239" spans="1:60" x14ac:dyDescent="0.25">
      <c r="A239" s="16"/>
      <c r="B239" s="2"/>
      <c r="D239" s="16"/>
      <c r="E239" s="16"/>
      <c r="G239" s="1"/>
      <c r="H239" s="1"/>
      <c r="I239" s="1"/>
      <c r="J239" s="1"/>
      <c r="K239" s="33"/>
      <c r="L239" s="22"/>
      <c r="M239" s="1"/>
      <c r="N239" s="1"/>
      <c r="O239" s="1"/>
      <c r="P239" s="1"/>
      <c r="Q239" s="1"/>
      <c r="R239" s="1"/>
      <c r="S239" s="1"/>
      <c r="BB239" s="9" t="str">
        <f t="shared" ref="BB239:BB302" si="16">IF(BE239=BF239,"Yes","No")</f>
        <v>Yes</v>
      </c>
      <c r="BC239" s="9" t="str">
        <f>IF(EFB!$N239=Table1[[#This Row],[ProgramTitle]],"Yes","No")</f>
        <v>Yes</v>
      </c>
      <c r="BD239" s="9" t="str">
        <f>IF(EFB!$S239=Table1[[#This Row],[SeriesEpisodeTitle]],"Yes","No")</f>
        <v>Yes</v>
      </c>
      <c r="BE239" s="11">
        <f t="shared" ref="BE239:BE302" si="17">TIME(HOUR(C239),MINUTE(C239),SECOND(0))</f>
        <v>0</v>
      </c>
      <c r="BF239" s="11">
        <f t="shared" ref="BF239:BF302" si="18">TIME(HOUR(L239),MINUTE(L239),SECOND(0))</f>
        <v>0</v>
      </c>
      <c r="BH239" s="21">
        <f>Table1[[#This Row],[StartTime]]+$BG$2</f>
        <v>4.1666666666666664E-2</v>
      </c>
    </row>
    <row r="240" spans="1:60" x14ac:dyDescent="0.25">
      <c r="A240" s="16"/>
      <c r="B240" s="2"/>
      <c r="D240" s="16"/>
      <c r="E240" s="16"/>
      <c r="G240" s="1"/>
      <c r="H240" s="1"/>
      <c r="I240" s="1"/>
      <c r="J240" s="1"/>
      <c r="K240" s="33"/>
      <c r="L240" s="22"/>
      <c r="M240" s="1"/>
      <c r="N240" s="1"/>
      <c r="O240" s="1"/>
      <c r="P240" s="1"/>
      <c r="Q240" s="1"/>
      <c r="R240" s="1"/>
      <c r="S240" s="1"/>
      <c r="BB240" s="9" t="str">
        <f t="shared" si="16"/>
        <v>Yes</v>
      </c>
      <c r="BC240" s="9" t="str">
        <f>IF(EFB!$N240=Table1[[#This Row],[ProgramTitle]],"Yes","No")</f>
        <v>Yes</v>
      </c>
      <c r="BD240" s="9" t="str">
        <f>IF(EFB!$S240=Table1[[#This Row],[SeriesEpisodeTitle]],"Yes","No")</f>
        <v>Yes</v>
      </c>
      <c r="BE240" s="11">
        <f t="shared" si="17"/>
        <v>0</v>
      </c>
      <c r="BF240" s="11">
        <f t="shared" si="18"/>
        <v>0</v>
      </c>
      <c r="BH240" s="21">
        <f>Table1[[#This Row],[StartTime]]+$BG$2</f>
        <v>4.1666666666666664E-2</v>
      </c>
    </row>
    <row r="241" spans="1:60" x14ac:dyDescent="0.25">
      <c r="A241" s="16"/>
      <c r="B241" s="2"/>
      <c r="D241" s="16"/>
      <c r="E241" s="16"/>
      <c r="G241" s="1"/>
      <c r="H241" s="1"/>
      <c r="I241" s="1"/>
      <c r="J241" s="1"/>
      <c r="K241" s="33"/>
      <c r="L241" s="22"/>
      <c r="M241" s="1"/>
      <c r="N241" s="1"/>
      <c r="O241" s="1"/>
      <c r="P241" s="1"/>
      <c r="Q241" s="1"/>
      <c r="R241" s="1"/>
      <c r="S241" s="1"/>
      <c r="BB241" s="9" t="str">
        <f t="shared" si="16"/>
        <v>Yes</v>
      </c>
      <c r="BC241" s="9" t="str">
        <f>IF(EFB!$N241=Table1[[#This Row],[ProgramTitle]],"Yes","No")</f>
        <v>Yes</v>
      </c>
      <c r="BD241" s="9" t="str">
        <f>IF(EFB!$S241=Table1[[#This Row],[SeriesEpisodeTitle]],"Yes","No")</f>
        <v>Yes</v>
      </c>
      <c r="BE241" s="11">
        <f t="shared" si="17"/>
        <v>0</v>
      </c>
      <c r="BF241" s="11">
        <f t="shared" si="18"/>
        <v>0</v>
      </c>
      <c r="BH241" s="21">
        <f>Table1[[#This Row],[StartTime]]+$BG$2</f>
        <v>4.1666666666666664E-2</v>
      </c>
    </row>
    <row r="242" spans="1:60" x14ac:dyDescent="0.25">
      <c r="A242" s="16"/>
      <c r="B242" s="2"/>
      <c r="D242" s="16"/>
      <c r="E242" s="16"/>
      <c r="G242" s="1"/>
      <c r="H242" s="1"/>
      <c r="I242" s="1"/>
      <c r="J242" s="1"/>
      <c r="K242" s="33"/>
      <c r="L242" s="22"/>
      <c r="M242" s="1"/>
      <c r="N242" s="1"/>
      <c r="O242" s="1"/>
      <c r="P242" s="1"/>
      <c r="Q242" s="1"/>
      <c r="R242" s="1"/>
      <c r="S242" s="1"/>
      <c r="BB242" s="9" t="str">
        <f t="shared" si="16"/>
        <v>Yes</v>
      </c>
      <c r="BC242" s="9" t="str">
        <f>IF(EFB!$N242=Table1[[#This Row],[ProgramTitle]],"Yes","No")</f>
        <v>Yes</v>
      </c>
      <c r="BD242" s="9" t="str">
        <f>IF(EFB!$S242=Table1[[#This Row],[SeriesEpisodeTitle]],"Yes","No")</f>
        <v>Yes</v>
      </c>
      <c r="BE242" s="11">
        <f t="shared" si="17"/>
        <v>0</v>
      </c>
      <c r="BF242" s="11">
        <f t="shared" si="18"/>
        <v>0</v>
      </c>
      <c r="BH242" s="21">
        <f>Table1[[#This Row],[StartTime]]+$BG$2</f>
        <v>4.1666666666666664E-2</v>
      </c>
    </row>
    <row r="243" spans="1:60" x14ac:dyDescent="0.25">
      <c r="A243" s="16"/>
      <c r="B243" s="2"/>
      <c r="D243" s="16"/>
      <c r="E243" s="16"/>
      <c r="G243" s="1"/>
      <c r="H243" s="1"/>
      <c r="I243" s="1"/>
      <c r="J243" s="1"/>
      <c r="K243" s="33"/>
      <c r="L243" s="22"/>
      <c r="M243" s="1"/>
      <c r="N243" s="1"/>
      <c r="O243" s="1"/>
      <c r="P243" s="1"/>
      <c r="Q243" s="1"/>
      <c r="R243" s="1"/>
      <c r="S243" s="1"/>
      <c r="BB243" s="9" t="str">
        <f t="shared" si="16"/>
        <v>Yes</v>
      </c>
      <c r="BC243" s="9" t="str">
        <f>IF(EFB!$N243=Table1[[#This Row],[ProgramTitle]],"Yes","No")</f>
        <v>Yes</v>
      </c>
      <c r="BD243" s="9" t="str">
        <f>IF(EFB!$S243=Table1[[#This Row],[SeriesEpisodeTitle]],"Yes","No")</f>
        <v>Yes</v>
      </c>
      <c r="BE243" s="11">
        <f t="shared" si="17"/>
        <v>0</v>
      </c>
      <c r="BF243" s="11">
        <f t="shared" si="18"/>
        <v>0</v>
      </c>
      <c r="BH243" s="21">
        <f>Table1[[#This Row],[StartTime]]+$BG$2</f>
        <v>4.1666666666666664E-2</v>
      </c>
    </row>
    <row r="244" spans="1:60" x14ac:dyDescent="0.25">
      <c r="A244" s="16"/>
      <c r="B244" s="2"/>
      <c r="D244" s="16"/>
      <c r="E244" s="16"/>
      <c r="G244" s="1"/>
      <c r="H244" s="1"/>
      <c r="I244" s="1"/>
      <c r="J244" s="1"/>
      <c r="K244" s="33"/>
      <c r="L244" s="22"/>
      <c r="M244" s="1"/>
      <c r="N244" s="1"/>
      <c r="O244" s="1"/>
      <c r="P244" s="1"/>
      <c r="Q244" s="1"/>
      <c r="R244" s="1"/>
      <c r="S244" s="1"/>
      <c r="BB244" s="9" t="str">
        <f t="shared" si="16"/>
        <v>Yes</v>
      </c>
      <c r="BC244" s="9" t="str">
        <f>IF(EFB!$N244=Table1[[#This Row],[ProgramTitle]],"Yes","No")</f>
        <v>Yes</v>
      </c>
      <c r="BD244" s="9" t="str">
        <f>IF(EFB!$S244=Table1[[#This Row],[SeriesEpisodeTitle]],"Yes","No")</f>
        <v>Yes</v>
      </c>
      <c r="BE244" s="11">
        <f t="shared" si="17"/>
        <v>0</v>
      </c>
      <c r="BF244" s="11">
        <f t="shared" si="18"/>
        <v>0</v>
      </c>
      <c r="BH244" s="21">
        <f>Table1[[#This Row],[StartTime]]+$BG$2</f>
        <v>4.1666666666666664E-2</v>
      </c>
    </row>
    <row r="245" spans="1:60" x14ac:dyDescent="0.25">
      <c r="A245" s="16"/>
      <c r="B245" s="2"/>
      <c r="D245" s="16"/>
      <c r="E245" s="16"/>
      <c r="G245" s="1"/>
      <c r="H245" s="1"/>
      <c r="I245" s="1"/>
      <c r="J245" s="1"/>
      <c r="K245" s="33"/>
      <c r="L245" s="22"/>
      <c r="M245" s="1"/>
      <c r="N245" s="1"/>
      <c r="O245" s="1"/>
      <c r="P245" s="1"/>
      <c r="Q245" s="1"/>
      <c r="R245" s="1"/>
      <c r="S245" s="1"/>
      <c r="BB245" s="9" t="str">
        <f t="shared" si="16"/>
        <v>Yes</v>
      </c>
      <c r="BC245" s="9" t="str">
        <f>IF(EFB!$N245=Table1[[#This Row],[ProgramTitle]],"Yes","No")</f>
        <v>Yes</v>
      </c>
      <c r="BD245" s="9" t="str">
        <f>IF(EFB!$S245=Table1[[#This Row],[SeriesEpisodeTitle]],"Yes","No")</f>
        <v>Yes</v>
      </c>
      <c r="BE245" s="11">
        <f t="shared" si="17"/>
        <v>0</v>
      </c>
      <c r="BF245" s="11">
        <f t="shared" si="18"/>
        <v>0</v>
      </c>
      <c r="BH245" s="21">
        <f>Table1[[#This Row],[StartTime]]+$BG$2</f>
        <v>4.1666666666666664E-2</v>
      </c>
    </row>
    <row r="246" spans="1:60" x14ac:dyDescent="0.25">
      <c r="A246" s="16"/>
      <c r="B246" s="2"/>
      <c r="D246" s="16"/>
      <c r="E246" s="16"/>
      <c r="G246" s="1"/>
      <c r="H246" s="1"/>
      <c r="I246" s="1"/>
      <c r="J246" s="1"/>
      <c r="K246" s="33"/>
      <c r="L246" s="22"/>
      <c r="M246" s="1"/>
      <c r="N246" s="1"/>
      <c r="O246" s="1"/>
      <c r="P246" s="1"/>
      <c r="Q246" s="1"/>
      <c r="R246" s="1"/>
      <c r="S246" s="1"/>
      <c r="BB246" s="9" t="str">
        <f t="shared" si="16"/>
        <v>Yes</v>
      </c>
      <c r="BC246" s="9" t="str">
        <f>IF(EFB!$N246=Table1[[#This Row],[ProgramTitle]],"Yes","No")</f>
        <v>Yes</v>
      </c>
      <c r="BD246" s="9" t="str">
        <f>IF(EFB!$S246=Table1[[#This Row],[SeriesEpisodeTitle]],"Yes","No")</f>
        <v>Yes</v>
      </c>
      <c r="BE246" s="11">
        <f t="shared" si="17"/>
        <v>0</v>
      </c>
      <c r="BF246" s="11">
        <f t="shared" si="18"/>
        <v>0</v>
      </c>
      <c r="BH246" s="21">
        <f>Table1[[#This Row],[StartTime]]+$BG$2</f>
        <v>4.1666666666666664E-2</v>
      </c>
    </row>
    <row r="247" spans="1:60" x14ac:dyDescent="0.25">
      <c r="A247" s="16"/>
      <c r="B247" s="2"/>
      <c r="D247" s="16"/>
      <c r="E247" s="16"/>
      <c r="G247" s="1"/>
      <c r="H247" s="1"/>
      <c r="I247" s="1"/>
      <c r="J247" s="1"/>
      <c r="K247" s="33"/>
      <c r="L247" s="22"/>
      <c r="M247" s="1"/>
      <c r="N247" s="1"/>
      <c r="O247" s="1"/>
      <c r="P247" s="1"/>
      <c r="Q247" s="1"/>
      <c r="R247" s="1"/>
      <c r="S247" s="1"/>
      <c r="BB247" s="9" t="str">
        <f t="shared" si="16"/>
        <v>Yes</v>
      </c>
      <c r="BC247" s="9" t="str">
        <f>IF(EFB!$N247=Table1[[#This Row],[ProgramTitle]],"Yes","No")</f>
        <v>Yes</v>
      </c>
      <c r="BD247" s="9" t="str">
        <f>IF(EFB!$S247=Table1[[#This Row],[SeriesEpisodeTitle]],"Yes","No")</f>
        <v>Yes</v>
      </c>
      <c r="BE247" s="11">
        <f t="shared" si="17"/>
        <v>0</v>
      </c>
      <c r="BF247" s="11">
        <f t="shared" si="18"/>
        <v>0</v>
      </c>
      <c r="BH247" s="21">
        <f>Table1[[#This Row],[StartTime]]+$BG$2</f>
        <v>4.1666666666666664E-2</v>
      </c>
    </row>
    <row r="248" spans="1:60" x14ac:dyDescent="0.25">
      <c r="A248" s="16"/>
      <c r="B248" s="2"/>
      <c r="D248" s="16"/>
      <c r="E248" s="16"/>
      <c r="G248" s="1"/>
      <c r="H248" s="1"/>
      <c r="I248" s="1"/>
      <c r="J248" s="1"/>
      <c r="K248" s="33"/>
      <c r="L248" s="22"/>
      <c r="M248" s="1"/>
      <c r="N248" s="1"/>
      <c r="O248" s="1"/>
      <c r="P248" s="1"/>
      <c r="Q248" s="1"/>
      <c r="R248" s="1"/>
      <c r="S248" s="1"/>
      <c r="BB248" s="9" t="str">
        <f t="shared" si="16"/>
        <v>Yes</v>
      </c>
      <c r="BC248" s="9" t="str">
        <f>IF(EFB!$N248=Table1[[#This Row],[ProgramTitle]],"Yes","No")</f>
        <v>Yes</v>
      </c>
      <c r="BD248" s="9" t="str">
        <f>IF(EFB!$S248=Table1[[#This Row],[SeriesEpisodeTitle]],"Yes","No")</f>
        <v>Yes</v>
      </c>
      <c r="BE248" s="11">
        <f t="shared" si="17"/>
        <v>0</v>
      </c>
      <c r="BF248" s="11">
        <f t="shared" si="18"/>
        <v>0</v>
      </c>
      <c r="BH248" s="21">
        <f>Table1[[#This Row],[StartTime]]+$BG$2</f>
        <v>4.1666666666666664E-2</v>
      </c>
    </row>
    <row r="249" spans="1:60" x14ac:dyDescent="0.25">
      <c r="A249" s="16"/>
      <c r="B249" s="2"/>
      <c r="D249" s="16"/>
      <c r="E249" s="16"/>
      <c r="G249" s="1"/>
      <c r="H249" s="1"/>
      <c r="I249" s="1"/>
      <c r="J249" s="1"/>
      <c r="K249" s="33"/>
      <c r="L249" s="22"/>
      <c r="M249" s="1"/>
      <c r="N249" s="1"/>
      <c r="O249" s="1"/>
      <c r="P249" s="1"/>
      <c r="Q249" s="1"/>
      <c r="R249" s="1"/>
      <c r="S249" s="1"/>
      <c r="BB249" s="9" t="str">
        <f t="shared" si="16"/>
        <v>Yes</v>
      </c>
      <c r="BC249" s="9" t="str">
        <f>IF(EFB!$N249=Table1[[#This Row],[ProgramTitle]],"Yes","No")</f>
        <v>Yes</v>
      </c>
      <c r="BD249" s="9" t="str">
        <f>IF(EFB!$S249=Table1[[#This Row],[SeriesEpisodeTitle]],"Yes","No")</f>
        <v>Yes</v>
      </c>
      <c r="BE249" s="11">
        <f t="shared" si="17"/>
        <v>0</v>
      </c>
      <c r="BF249" s="11">
        <f t="shared" si="18"/>
        <v>0</v>
      </c>
      <c r="BH249" s="21">
        <f>Table1[[#This Row],[StartTime]]+$BG$2</f>
        <v>4.1666666666666664E-2</v>
      </c>
    </row>
    <row r="250" spans="1:60" x14ac:dyDescent="0.25">
      <c r="A250" s="16"/>
      <c r="B250" s="2"/>
      <c r="D250" s="16"/>
      <c r="E250" s="16"/>
      <c r="G250" s="1"/>
      <c r="H250" s="1"/>
      <c r="I250" s="1"/>
      <c r="J250" s="1"/>
      <c r="K250" s="33"/>
      <c r="L250" s="22"/>
      <c r="M250" s="1"/>
      <c r="N250" s="1"/>
      <c r="O250" s="1"/>
      <c r="P250" s="1"/>
      <c r="Q250" s="1"/>
      <c r="R250" s="1"/>
      <c r="S250" s="1"/>
      <c r="BB250" s="9" t="str">
        <f t="shared" si="16"/>
        <v>Yes</v>
      </c>
      <c r="BC250" s="9" t="str">
        <f>IF(EFB!$N250=Table1[[#This Row],[ProgramTitle]],"Yes","No")</f>
        <v>Yes</v>
      </c>
      <c r="BD250" s="9" t="str">
        <f>IF(EFB!$S250=Table1[[#This Row],[SeriesEpisodeTitle]],"Yes","No")</f>
        <v>Yes</v>
      </c>
      <c r="BE250" s="11">
        <f t="shared" si="17"/>
        <v>0</v>
      </c>
      <c r="BF250" s="11">
        <f t="shared" si="18"/>
        <v>0</v>
      </c>
      <c r="BH250" s="21">
        <f>Table1[[#This Row],[StartTime]]+$BG$2</f>
        <v>4.1666666666666664E-2</v>
      </c>
    </row>
    <row r="251" spans="1:60" x14ac:dyDescent="0.25">
      <c r="A251" s="16"/>
      <c r="B251" s="2"/>
      <c r="D251" s="16"/>
      <c r="E251" s="16"/>
      <c r="G251" s="1"/>
      <c r="H251" s="1"/>
      <c r="I251" s="1"/>
      <c r="J251" s="1"/>
      <c r="K251" s="33"/>
      <c r="L251" s="22"/>
      <c r="M251" s="1"/>
      <c r="N251" s="1"/>
      <c r="O251" s="1"/>
      <c r="P251" s="1"/>
      <c r="Q251" s="1"/>
      <c r="R251" s="1"/>
      <c r="S251" s="1"/>
      <c r="BB251" s="9" t="str">
        <f t="shared" si="16"/>
        <v>Yes</v>
      </c>
      <c r="BC251" s="9" t="str">
        <f>IF(EFB!$N251=Table1[[#This Row],[ProgramTitle]],"Yes","No")</f>
        <v>Yes</v>
      </c>
      <c r="BD251" s="9" t="str">
        <f>IF(EFB!$S251=Table1[[#This Row],[SeriesEpisodeTitle]],"Yes","No")</f>
        <v>Yes</v>
      </c>
      <c r="BE251" s="11">
        <f t="shared" si="17"/>
        <v>0</v>
      </c>
      <c r="BF251" s="11">
        <f t="shared" si="18"/>
        <v>0</v>
      </c>
      <c r="BH251" s="21">
        <f>Table1[[#This Row],[StartTime]]+$BG$2</f>
        <v>4.1666666666666664E-2</v>
      </c>
    </row>
    <row r="252" spans="1:60" x14ac:dyDescent="0.25">
      <c r="A252" s="16"/>
      <c r="B252" s="2"/>
      <c r="D252" s="16"/>
      <c r="E252" s="16"/>
      <c r="G252" s="1"/>
      <c r="H252" s="1"/>
      <c r="I252" s="1"/>
      <c r="J252" s="1"/>
      <c r="K252" s="33"/>
      <c r="L252" s="22"/>
      <c r="M252" s="1"/>
      <c r="N252" s="1"/>
      <c r="O252" s="1"/>
      <c r="P252" s="1"/>
      <c r="Q252" s="1"/>
      <c r="R252" s="1"/>
      <c r="S252" s="1"/>
      <c r="BB252" s="9" t="str">
        <f t="shared" si="16"/>
        <v>Yes</v>
      </c>
      <c r="BC252" s="9" t="str">
        <f>IF(EFB!$N252=Table1[[#This Row],[ProgramTitle]],"Yes","No")</f>
        <v>Yes</v>
      </c>
      <c r="BD252" s="9" t="str">
        <f>IF(EFB!$S252=Table1[[#This Row],[SeriesEpisodeTitle]],"Yes","No")</f>
        <v>Yes</v>
      </c>
      <c r="BE252" s="11">
        <f t="shared" si="17"/>
        <v>0</v>
      </c>
      <c r="BF252" s="11">
        <f t="shared" si="18"/>
        <v>0</v>
      </c>
      <c r="BH252" s="21">
        <f>Table1[[#This Row],[StartTime]]+$BG$2</f>
        <v>4.1666666666666664E-2</v>
      </c>
    </row>
    <row r="253" spans="1:60" x14ac:dyDescent="0.25">
      <c r="A253" s="16"/>
      <c r="B253" s="2"/>
      <c r="D253" s="16"/>
      <c r="E253" s="16"/>
      <c r="G253" s="1"/>
      <c r="H253" s="1"/>
      <c r="I253" s="1"/>
      <c r="J253" s="1"/>
      <c r="K253" s="33"/>
      <c r="L253" s="22"/>
      <c r="M253" s="1"/>
      <c r="N253" s="1"/>
      <c r="O253" s="1"/>
      <c r="P253" s="1"/>
      <c r="Q253" s="1"/>
      <c r="R253" s="1"/>
      <c r="S253" s="1"/>
      <c r="BB253" s="9" t="str">
        <f t="shared" si="16"/>
        <v>Yes</v>
      </c>
      <c r="BC253" s="9" t="str">
        <f>IF(EFB!$N253=Table1[[#This Row],[ProgramTitle]],"Yes","No")</f>
        <v>Yes</v>
      </c>
      <c r="BD253" s="9" t="str">
        <f>IF(EFB!$S253=Table1[[#This Row],[SeriesEpisodeTitle]],"Yes","No")</f>
        <v>Yes</v>
      </c>
      <c r="BE253" s="11">
        <f t="shared" si="17"/>
        <v>0</v>
      </c>
      <c r="BF253" s="11">
        <f t="shared" si="18"/>
        <v>0</v>
      </c>
      <c r="BH253" s="21">
        <f>Table1[[#This Row],[StartTime]]+$BG$2</f>
        <v>4.1666666666666664E-2</v>
      </c>
    </row>
    <row r="254" spans="1:60" x14ac:dyDescent="0.25">
      <c r="A254" s="16"/>
      <c r="B254" s="2"/>
      <c r="D254" s="16"/>
      <c r="E254" s="16"/>
      <c r="G254" s="1"/>
      <c r="H254" s="1"/>
      <c r="I254" s="1"/>
      <c r="J254" s="1"/>
      <c r="K254" s="33"/>
      <c r="L254" s="22"/>
      <c r="M254" s="1"/>
      <c r="N254" s="1"/>
      <c r="O254" s="1"/>
      <c r="P254" s="1"/>
      <c r="Q254" s="1"/>
      <c r="R254" s="1"/>
      <c r="S254" s="1"/>
      <c r="BB254" s="9" t="str">
        <f t="shared" si="16"/>
        <v>Yes</v>
      </c>
      <c r="BC254" s="9" t="str">
        <f>IF(EFB!$N254=Table1[[#This Row],[ProgramTitle]],"Yes","No")</f>
        <v>Yes</v>
      </c>
      <c r="BD254" s="9" t="str">
        <f>IF(EFB!$S254=Table1[[#This Row],[SeriesEpisodeTitle]],"Yes","No")</f>
        <v>Yes</v>
      </c>
      <c r="BE254" s="11">
        <f t="shared" si="17"/>
        <v>0</v>
      </c>
      <c r="BF254" s="11">
        <f t="shared" si="18"/>
        <v>0</v>
      </c>
      <c r="BH254" s="21">
        <f>Table1[[#This Row],[StartTime]]+$BG$2</f>
        <v>4.1666666666666664E-2</v>
      </c>
    </row>
    <row r="255" spans="1:60" x14ac:dyDescent="0.25">
      <c r="A255" s="16"/>
      <c r="B255" s="2"/>
      <c r="D255" s="16"/>
      <c r="E255" s="16"/>
      <c r="G255" s="1"/>
      <c r="H255" s="1"/>
      <c r="I255" s="1"/>
      <c r="J255" s="1"/>
      <c r="K255" s="33"/>
      <c r="L255" s="22"/>
      <c r="M255" s="1"/>
      <c r="N255" s="1"/>
      <c r="O255" s="1"/>
      <c r="P255" s="1"/>
      <c r="Q255" s="1"/>
      <c r="R255" s="1"/>
      <c r="S255" s="1"/>
      <c r="BB255" s="9" t="str">
        <f t="shared" si="16"/>
        <v>Yes</v>
      </c>
      <c r="BC255" s="9" t="str">
        <f>IF(EFB!$N255=Table1[[#This Row],[ProgramTitle]],"Yes","No")</f>
        <v>Yes</v>
      </c>
      <c r="BD255" s="9" t="str">
        <f>IF(EFB!$S255=Table1[[#This Row],[SeriesEpisodeTitle]],"Yes","No")</f>
        <v>Yes</v>
      </c>
      <c r="BE255" s="11">
        <f t="shared" si="17"/>
        <v>0</v>
      </c>
      <c r="BF255" s="11">
        <f t="shared" si="18"/>
        <v>0</v>
      </c>
      <c r="BH255" s="21">
        <f>Table1[[#This Row],[StartTime]]+$BG$2</f>
        <v>4.1666666666666664E-2</v>
      </c>
    </row>
    <row r="256" spans="1:60" x14ac:dyDescent="0.25">
      <c r="A256" s="16"/>
      <c r="B256" s="2"/>
      <c r="D256" s="16"/>
      <c r="E256" s="16"/>
      <c r="G256" s="1"/>
      <c r="H256" s="1"/>
      <c r="I256" s="1"/>
      <c r="J256" s="1"/>
      <c r="K256" s="33"/>
      <c r="L256" s="22"/>
      <c r="M256" s="1"/>
      <c r="N256" s="1"/>
      <c r="O256" s="1"/>
      <c r="P256" s="1"/>
      <c r="Q256" s="1"/>
      <c r="R256" s="1"/>
      <c r="S256" s="1"/>
      <c r="BB256" s="9" t="str">
        <f t="shared" si="16"/>
        <v>Yes</v>
      </c>
      <c r="BC256" s="9" t="str">
        <f>IF(EFB!$N256=Table1[[#This Row],[ProgramTitle]],"Yes","No")</f>
        <v>Yes</v>
      </c>
      <c r="BD256" s="9" t="str">
        <f>IF(EFB!$S256=Table1[[#This Row],[SeriesEpisodeTitle]],"Yes","No")</f>
        <v>Yes</v>
      </c>
      <c r="BE256" s="11">
        <f t="shared" si="17"/>
        <v>0</v>
      </c>
      <c r="BF256" s="11">
        <f t="shared" si="18"/>
        <v>0</v>
      </c>
      <c r="BH256" s="21">
        <f>Table1[[#This Row],[StartTime]]+$BG$2</f>
        <v>4.1666666666666664E-2</v>
      </c>
    </row>
    <row r="257" spans="1:60" x14ac:dyDescent="0.25">
      <c r="A257" s="16"/>
      <c r="B257" s="2"/>
      <c r="D257" s="16"/>
      <c r="E257" s="16"/>
      <c r="G257" s="1"/>
      <c r="H257" s="1"/>
      <c r="I257" s="1"/>
      <c r="J257" s="1"/>
      <c r="K257" s="33"/>
      <c r="L257" s="22"/>
      <c r="M257" s="1"/>
      <c r="N257" s="1"/>
      <c r="O257" s="1"/>
      <c r="P257" s="1"/>
      <c r="Q257" s="1"/>
      <c r="R257" s="1"/>
      <c r="S257" s="1"/>
      <c r="BB257" s="9" t="str">
        <f t="shared" si="16"/>
        <v>Yes</v>
      </c>
      <c r="BC257" s="9" t="str">
        <f>IF(EFB!$N257=Table1[[#This Row],[ProgramTitle]],"Yes","No")</f>
        <v>Yes</v>
      </c>
      <c r="BD257" s="9" t="str">
        <f>IF(EFB!$S257=Table1[[#This Row],[SeriesEpisodeTitle]],"Yes","No")</f>
        <v>Yes</v>
      </c>
      <c r="BE257" s="11">
        <f t="shared" si="17"/>
        <v>0</v>
      </c>
      <c r="BF257" s="11">
        <f t="shared" si="18"/>
        <v>0</v>
      </c>
      <c r="BH257" s="21">
        <f>Table1[[#This Row],[StartTime]]+$BG$2</f>
        <v>4.1666666666666664E-2</v>
      </c>
    </row>
    <row r="258" spans="1:60" x14ac:dyDescent="0.25">
      <c r="A258" s="16"/>
      <c r="B258" s="2"/>
      <c r="D258" s="16"/>
      <c r="E258" s="16"/>
      <c r="G258" s="1"/>
      <c r="H258" s="1"/>
      <c r="I258" s="1"/>
      <c r="J258" s="1"/>
      <c r="K258" s="33"/>
      <c r="L258" s="22"/>
      <c r="M258" s="1"/>
      <c r="N258" s="1"/>
      <c r="O258" s="1"/>
      <c r="P258" s="1"/>
      <c r="Q258" s="1"/>
      <c r="R258" s="1"/>
      <c r="S258" s="1"/>
      <c r="BB258" s="9" t="str">
        <f t="shared" si="16"/>
        <v>Yes</v>
      </c>
      <c r="BC258" s="9" t="str">
        <f>IF(EFB!$N258=Table1[[#This Row],[ProgramTitle]],"Yes","No")</f>
        <v>Yes</v>
      </c>
      <c r="BD258" s="9" t="str">
        <f>IF(EFB!$S258=Table1[[#This Row],[SeriesEpisodeTitle]],"Yes","No")</f>
        <v>Yes</v>
      </c>
      <c r="BE258" s="11">
        <f t="shared" si="17"/>
        <v>0</v>
      </c>
      <c r="BF258" s="11">
        <f t="shared" si="18"/>
        <v>0</v>
      </c>
      <c r="BH258" s="21">
        <f>Table1[[#This Row],[StartTime]]+$BG$2</f>
        <v>4.1666666666666664E-2</v>
      </c>
    </row>
    <row r="259" spans="1:60" x14ac:dyDescent="0.25">
      <c r="A259" s="16"/>
      <c r="B259" s="2"/>
      <c r="D259" s="16"/>
      <c r="E259" s="16"/>
      <c r="G259" s="1"/>
      <c r="H259" s="1"/>
      <c r="I259" s="1"/>
      <c r="J259" s="1"/>
      <c r="K259" s="33"/>
      <c r="L259" s="22"/>
      <c r="M259" s="1"/>
      <c r="N259" s="1"/>
      <c r="O259" s="1"/>
      <c r="P259" s="1"/>
      <c r="Q259" s="1"/>
      <c r="R259" s="1"/>
      <c r="S259" s="1"/>
      <c r="BB259" s="9" t="str">
        <f t="shared" si="16"/>
        <v>Yes</v>
      </c>
      <c r="BC259" s="9" t="str">
        <f>IF(EFB!$N259=Table1[[#This Row],[ProgramTitle]],"Yes","No")</f>
        <v>Yes</v>
      </c>
      <c r="BD259" s="9" t="str">
        <f>IF(EFB!$S259=Table1[[#This Row],[SeriesEpisodeTitle]],"Yes","No")</f>
        <v>Yes</v>
      </c>
      <c r="BE259" s="11">
        <f t="shared" si="17"/>
        <v>0</v>
      </c>
      <c r="BF259" s="11">
        <f t="shared" si="18"/>
        <v>0</v>
      </c>
      <c r="BH259" s="21">
        <f>Table1[[#This Row],[StartTime]]+$BG$2</f>
        <v>4.1666666666666664E-2</v>
      </c>
    </row>
    <row r="260" spans="1:60" x14ac:dyDescent="0.25">
      <c r="A260" s="16"/>
      <c r="B260" s="2"/>
      <c r="D260" s="16"/>
      <c r="E260" s="16"/>
      <c r="G260" s="1"/>
      <c r="H260" s="1"/>
      <c r="I260" s="1"/>
      <c r="J260" s="1"/>
      <c r="K260" s="33"/>
      <c r="L260" s="22"/>
      <c r="M260" s="1"/>
      <c r="N260" s="1"/>
      <c r="O260" s="1"/>
      <c r="P260" s="1"/>
      <c r="Q260" s="1"/>
      <c r="R260" s="1"/>
      <c r="S260" s="1"/>
      <c r="BB260" s="9" t="str">
        <f t="shared" si="16"/>
        <v>Yes</v>
      </c>
      <c r="BC260" s="9" t="str">
        <f>IF(EFB!$N260=Table1[[#This Row],[ProgramTitle]],"Yes","No")</f>
        <v>Yes</v>
      </c>
      <c r="BD260" s="9" t="str">
        <f>IF(EFB!$S260=Table1[[#This Row],[SeriesEpisodeTitle]],"Yes","No")</f>
        <v>Yes</v>
      </c>
      <c r="BE260" s="11">
        <f t="shared" si="17"/>
        <v>0</v>
      </c>
      <c r="BF260" s="11">
        <f t="shared" si="18"/>
        <v>0</v>
      </c>
      <c r="BH260" s="21">
        <f>Table1[[#This Row],[StartTime]]+$BG$2</f>
        <v>4.1666666666666664E-2</v>
      </c>
    </row>
    <row r="261" spans="1:60" x14ac:dyDescent="0.25">
      <c r="A261" s="16"/>
      <c r="B261" s="2"/>
      <c r="D261" s="16"/>
      <c r="E261" s="16"/>
      <c r="G261" s="1"/>
      <c r="H261" s="1"/>
      <c r="I261" s="1"/>
      <c r="J261" s="1"/>
      <c r="K261" s="33"/>
      <c r="L261" s="22"/>
      <c r="M261" s="1"/>
      <c r="N261" s="1"/>
      <c r="O261" s="1"/>
      <c r="P261" s="1"/>
      <c r="Q261" s="1"/>
      <c r="R261" s="1"/>
      <c r="S261" s="1"/>
      <c r="BB261" s="9" t="str">
        <f t="shared" si="16"/>
        <v>Yes</v>
      </c>
      <c r="BC261" s="9" t="str">
        <f>IF(EFB!$N261=Table1[[#This Row],[ProgramTitle]],"Yes","No")</f>
        <v>Yes</v>
      </c>
      <c r="BD261" s="9" t="str">
        <f>IF(EFB!$S261=Table1[[#This Row],[SeriesEpisodeTitle]],"Yes","No")</f>
        <v>Yes</v>
      </c>
      <c r="BE261" s="11">
        <f t="shared" si="17"/>
        <v>0</v>
      </c>
      <c r="BF261" s="11">
        <f t="shared" si="18"/>
        <v>0</v>
      </c>
      <c r="BH261" s="21">
        <f>Table1[[#This Row],[StartTime]]+$BG$2</f>
        <v>4.1666666666666664E-2</v>
      </c>
    </row>
    <row r="262" spans="1:60" x14ac:dyDescent="0.25">
      <c r="A262" s="16"/>
      <c r="B262" s="2"/>
      <c r="D262" s="16"/>
      <c r="E262" s="16"/>
      <c r="G262" s="1"/>
      <c r="H262" s="1"/>
      <c r="I262" s="1"/>
      <c r="J262" s="1"/>
      <c r="K262" s="33"/>
      <c r="L262" s="22"/>
      <c r="M262" s="1"/>
      <c r="N262" s="1"/>
      <c r="O262" s="1"/>
      <c r="P262" s="1"/>
      <c r="Q262" s="1"/>
      <c r="R262" s="1"/>
      <c r="S262" s="1"/>
      <c r="BB262" s="9" t="str">
        <f t="shared" si="16"/>
        <v>Yes</v>
      </c>
      <c r="BC262" s="9" t="str">
        <f>IF(EFB!$N262=Table1[[#This Row],[ProgramTitle]],"Yes","No")</f>
        <v>Yes</v>
      </c>
      <c r="BD262" s="9" t="str">
        <f>IF(EFB!$S262=Table1[[#This Row],[SeriesEpisodeTitle]],"Yes","No")</f>
        <v>Yes</v>
      </c>
      <c r="BE262" s="11">
        <f t="shared" si="17"/>
        <v>0</v>
      </c>
      <c r="BF262" s="11">
        <f t="shared" si="18"/>
        <v>0</v>
      </c>
      <c r="BH262" s="21">
        <f>Table1[[#This Row],[StartTime]]+$BG$2</f>
        <v>4.1666666666666664E-2</v>
      </c>
    </row>
    <row r="263" spans="1:60" x14ac:dyDescent="0.25">
      <c r="A263" s="16"/>
      <c r="B263" s="2"/>
      <c r="D263" s="16"/>
      <c r="E263" s="16"/>
      <c r="G263" s="1"/>
      <c r="H263" s="1"/>
      <c r="I263" s="1"/>
      <c r="J263" s="1"/>
      <c r="K263" s="33"/>
      <c r="L263" s="22"/>
      <c r="M263" s="1"/>
      <c r="N263" s="1"/>
      <c r="O263" s="1"/>
      <c r="P263" s="1"/>
      <c r="Q263" s="1"/>
      <c r="R263" s="1"/>
      <c r="S263" s="1"/>
      <c r="BB263" s="9" t="str">
        <f t="shared" si="16"/>
        <v>Yes</v>
      </c>
      <c r="BC263" s="9" t="str">
        <f>IF(EFB!$N263=Table1[[#This Row],[ProgramTitle]],"Yes","No")</f>
        <v>Yes</v>
      </c>
      <c r="BD263" s="9" t="str">
        <f>IF(EFB!$S263=Table1[[#This Row],[SeriesEpisodeTitle]],"Yes","No")</f>
        <v>Yes</v>
      </c>
      <c r="BE263" s="11">
        <f t="shared" si="17"/>
        <v>0</v>
      </c>
      <c r="BF263" s="11">
        <f t="shared" si="18"/>
        <v>0</v>
      </c>
      <c r="BH263" s="21">
        <f>Table1[[#This Row],[StartTime]]+$BG$2</f>
        <v>4.1666666666666664E-2</v>
      </c>
    </row>
    <row r="264" spans="1:60" x14ac:dyDescent="0.25">
      <c r="A264" s="16"/>
      <c r="B264" s="2"/>
      <c r="D264" s="16"/>
      <c r="E264" s="16"/>
      <c r="G264" s="1"/>
      <c r="H264" s="1"/>
      <c r="I264" s="1"/>
      <c r="J264" s="1"/>
      <c r="K264" s="33"/>
      <c r="L264" s="22"/>
      <c r="M264" s="1"/>
      <c r="N264" s="1"/>
      <c r="O264" s="1"/>
      <c r="P264" s="1"/>
      <c r="Q264" s="1"/>
      <c r="R264" s="1"/>
      <c r="S264" s="1"/>
      <c r="BB264" s="9" t="str">
        <f t="shared" si="16"/>
        <v>Yes</v>
      </c>
      <c r="BC264" s="9" t="str">
        <f>IF(EFB!$N264=Table1[[#This Row],[ProgramTitle]],"Yes","No")</f>
        <v>Yes</v>
      </c>
      <c r="BD264" s="9" t="str">
        <f>IF(EFB!$S264=Table1[[#This Row],[SeriesEpisodeTitle]],"Yes","No")</f>
        <v>Yes</v>
      </c>
      <c r="BE264" s="11">
        <f t="shared" si="17"/>
        <v>0</v>
      </c>
      <c r="BF264" s="11">
        <f t="shared" si="18"/>
        <v>0</v>
      </c>
      <c r="BH264" s="21">
        <f>Table1[[#This Row],[StartTime]]+$BG$2</f>
        <v>4.1666666666666664E-2</v>
      </c>
    </row>
    <row r="265" spans="1:60" x14ac:dyDescent="0.25">
      <c r="A265" s="16"/>
      <c r="B265" s="2"/>
      <c r="D265" s="16"/>
      <c r="E265" s="16"/>
      <c r="G265" s="1"/>
      <c r="H265" s="1"/>
      <c r="I265" s="1"/>
      <c r="J265" s="1"/>
      <c r="K265" s="33"/>
      <c r="L265" s="22"/>
      <c r="M265" s="1"/>
      <c r="N265" s="1"/>
      <c r="O265" s="1"/>
      <c r="P265" s="1"/>
      <c r="Q265" s="1"/>
      <c r="R265" s="1"/>
      <c r="S265" s="1"/>
      <c r="BB265" s="9" t="str">
        <f t="shared" si="16"/>
        <v>Yes</v>
      </c>
      <c r="BC265" s="9" t="str">
        <f>IF(EFB!$N265=Table1[[#This Row],[ProgramTitle]],"Yes","No")</f>
        <v>Yes</v>
      </c>
      <c r="BD265" s="9" t="str">
        <f>IF(EFB!$S265=Table1[[#This Row],[SeriesEpisodeTitle]],"Yes","No")</f>
        <v>Yes</v>
      </c>
      <c r="BE265" s="11">
        <f t="shared" si="17"/>
        <v>0</v>
      </c>
      <c r="BF265" s="11">
        <f t="shared" si="18"/>
        <v>0</v>
      </c>
      <c r="BH265" s="21">
        <f>Table1[[#This Row],[StartTime]]+$BG$2</f>
        <v>4.1666666666666664E-2</v>
      </c>
    </row>
    <row r="266" spans="1:60" x14ac:dyDescent="0.25">
      <c r="A266" s="16"/>
      <c r="B266" s="2"/>
      <c r="D266" s="16"/>
      <c r="E266" s="16"/>
      <c r="G266" s="1"/>
      <c r="H266" s="1"/>
      <c r="I266" s="1"/>
      <c r="J266" s="1"/>
      <c r="K266" s="33"/>
      <c r="L266" s="22"/>
      <c r="M266" s="1"/>
      <c r="N266" s="1"/>
      <c r="O266" s="1"/>
      <c r="P266" s="1"/>
      <c r="Q266" s="1"/>
      <c r="R266" s="1"/>
      <c r="S266" s="1"/>
      <c r="BB266" s="9" t="str">
        <f t="shared" si="16"/>
        <v>Yes</v>
      </c>
      <c r="BC266" s="9" t="str">
        <f>IF(EFB!$N266=Table1[[#This Row],[ProgramTitle]],"Yes","No")</f>
        <v>Yes</v>
      </c>
      <c r="BD266" s="9" t="str">
        <f>IF(EFB!$S266=Table1[[#This Row],[SeriesEpisodeTitle]],"Yes","No")</f>
        <v>Yes</v>
      </c>
      <c r="BE266" s="11">
        <f t="shared" si="17"/>
        <v>0</v>
      </c>
      <c r="BF266" s="11">
        <f t="shared" si="18"/>
        <v>0</v>
      </c>
      <c r="BH266" s="21">
        <f>Table1[[#This Row],[StartTime]]+$BG$2</f>
        <v>4.1666666666666664E-2</v>
      </c>
    </row>
    <row r="267" spans="1:60" x14ac:dyDescent="0.25">
      <c r="A267" s="16"/>
      <c r="B267" s="2"/>
      <c r="D267" s="16"/>
      <c r="E267" s="16"/>
      <c r="G267" s="1"/>
      <c r="H267" s="1"/>
      <c r="I267" s="1"/>
      <c r="J267" s="1"/>
      <c r="K267" s="33"/>
      <c r="L267" s="22"/>
      <c r="M267" s="1"/>
      <c r="N267" s="1"/>
      <c r="O267" s="1"/>
      <c r="P267" s="1"/>
      <c r="Q267" s="1"/>
      <c r="R267" s="1"/>
      <c r="S267" s="1"/>
      <c r="BB267" s="9" t="str">
        <f t="shared" si="16"/>
        <v>Yes</v>
      </c>
      <c r="BC267" s="9" t="str">
        <f>IF(EFB!$N267=Table1[[#This Row],[ProgramTitle]],"Yes","No")</f>
        <v>Yes</v>
      </c>
      <c r="BD267" s="9" t="str">
        <f>IF(EFB!$S267=Table1[[#This Row],[SeriesEpisodeTitle]],"Yes","No")</f>
        <v>Yes</v>
      </c>
      <c r="BE267" s="11">
        <f t="shared" si="17"/>
        <v>0</v>
      </c>
      <c r="BF267" s="11">
        <f t="shared" si="18"/>
        <v>0</v>
      </c>
      <c r="BH267" s="21">
        <f>Table1[[#This Row],[StartTime]]+$BG$2</f>
        <v>4.1666666666666664E-2</v>
      </c>
    </row>
    <row r="268" spans="1:60" x14ac:dyDescent="0.25">
      <c r="A268" s="16"/>
      <c r="B268" s="2"/>
      <c r="D268" s="16"/>
      <c r="E268" s="16"/>
      <c r="G268" s="1"/>
      <c r="H268" s="1"/>
      <c r="I268" s="1"/>
      <c r="J268" s="1"/>
      <c r="K268" s="33"/>
      <c r="L268" s="22"/>
      <c r="M268" s="1"/>
      <c r="N268" s="1"/>
      <c r="O268" s="1"/>
      <c r="P268" s="1"/>
      <c r="Q268" s="1"/>
      <c r="R268" s="1"/>
      <c r="S268" s="1"/>
      <c r="BB268" s="9" t="str">
        <f t="shared" si="16"/>
        <v>Yes</v>
      </c>
      <c r="BC268" s="9" t="str">
        <f>IF(EFB!$N268=Table1[[#This Row],[ProgramTitle]],"Yes","No")</f>
        <v>Yes</v>
      </c>
      <c r="BD268" s="9" t="str">
        <f>IF(EFB!$S268=Table1[[#This Row],[SeriesEpisodeTitle]],"Yes","No")</f>
        <v>Yes</v>
      </c>
      <c r="BE268" s="11">
        <f t="shared" si="17"/>
        <v>0</v>
      </c>
      <c r="BF268" s="11">
        <f t="shared" si="18"/>
        <v>0</v>
      </c>
      <c r="BH268" s="21">
        <f>Table1[[#This Row],[StartTime]]+$BG$2</f>
        <v>4.1666666666666664E-2</v>
      </c>
    </row>
    <row r="269" spans="1:60" x14ac:dyDescent="0.25">
      <c r="A269" s="16"/>
      <c r="B269" s="2"/>
      <c r="D269" s="16"/>
      <c r="E269" s="16"/>
      <c r="G269" s="1"/>
      <c r="H269" s="1"/>
      <c r="I269" s="1"/>
      <c r="J269" s="1"/>
      <c r="K269" s="33"/>
      <c r="L269" s="22"/>
      <c r="M269" s="1"/>
      <c r="N269" s="1"/>
      <c r="O269" s="1"/>
      <c r="P269" s="1"/>
      <c r="Q269" s="1"/>
      <c r="R269" s="1"/>
      <c r="S269" s="1"/>
      <c r="BB269" s="9" t="str">
        <f t="shared" si="16"/>
        <v>Yes</v>
      </c>
      <c r="BC269" s="9" t="str">
        <f>IF(EFB!$N269=Table1[[#This Row],[ProgramTitle]],"Yes","No")</f>
        <v>Yes</v>
      </c>
      <c r="BD269" s="9" t="str">
        <f>IF(EFB!$S269=Table1[[#This Row],[SeriesEpisodeTitle]],"Yes","No")</f>
        <v>Yes</v>
      </c>
      <c r="BE269" s="11">
        <f t="shared" si="17"/>
        <v>0</v>
      </c>
      <c r="BF269" s="11">
        <f t="shared" si="18"/>
        <v>0</v>
      </c>
      <c r="BH269" s="21">
        <f>Table1[[#This Row],[StartTime]]+$BG$2</f>
        <v>4.1666666666666664E-2</v>
      </c>
    </row>
    <row r="270" spans="1:60" x14ac:dyDescent="0.25">
      <c r="A270" s="16"/>
      <c r="B270" s="2"/>
      <c r="D270" s="16"/>
      <c r="E270" s="16"/>
      <c r="G270" s="1"/>
      <c r="H270" s="1"/>
      <c r="I270" s="1"/>
      <c r="J270" s="1"/>
      <c r="K270" s="33"/>
      <c r="L270" s="22"/>
      <c r="M270" s="1"/>
      <c r="N270" s="1"/>
      <c r="O270" s="1"/>
      <c r="P270" s="1"/>
      <c r="Q270" s="1"/>
      <c r="R270" s="1"/>
      <c r="S270" s="1"/>
      <c r="BB270" s="9" t="str">
        <f t="shared" si="16"/>
        <v>Yes</v>
      </c>
      <c r="BC270" s="9" t="str">
        <f>IF(EFB!$N270=Table1[[#This Row],[ProgramTitle]],"Yes","No")</f>
        <v>Yes</v>
      </c>
      <c r="BD270" s="9" t="str">
        <f>IF(EFB!$S270=Table1[[#This Row],[SeriesEpisodeTitle]],"Yes","No")</f>
        <v>Yes</v>
      </c>
      <c r="BE270" s="11">
        <f t="shared" si="17"/>
        <v>0</v>
      </c>
      <c r="BF270" s="11">
        <f t="shared" si="18"/>
        <v>0</v>
      </c>
      <c r="BH270" s="21">
        <f>Table1[[#This Row],[StartTime]]+$BG$2</f>
        <v>4.1666666666666664E-2</v>
      </c>
    </row>
    <row r="271" spans="1:60" x14ac:dyDescent="0.25">
      <c r="A271" s="16"/>
      <c r="B271" s="2"/>
      <c r="D271" s="16"/>
      <c r="E271" s="16"/>
      <c r="G271" s="1"/>
      <c r="H271" s="1"/>
      <c r="I271" s="1"/>
      <c r="J271" s="1"/>
      <c r="K271" s="33"/>
      <c r="L271" s="22"/>
      <c r="M271" s="1"/>
      <c r="N271" s="1"/>
      <c r="O271" s="1"/>
      <c r="P271" s="1"/>
      <c r="Q271" s="1"/>
      <c r="R271" s="1"/>
      <c r="S271" s="1"/>
      <c r="BB271" s="9" t="str">
        <f t="shared" si="16"/>
        <v>Yes</v>
      </c>
      <c r="BC271" s="9" t="str">
        <f>IF(EFB!$N271=Table1[[#This Row],[ProgramTitle]],"Yes","No")</f>
        <v>Yes</v>
      </c>
      <c r="BD271" s="9" t="str">
        <f>IF(EFB!$S271=Table1[[#This Row],[SeriesEpisodeTitle]],"Yes","No")</f>
        <v>Yes</v>
      </c>
      <c r="BE271" s="11">
        <f t="shared" si="17"/>
        <v>0</v>
      </c>
      <c r="BF271" s="11">
        <f t="shared" si="18"/>
        <v>0</v>
      </c>
      <c r="BH271" s="21">
        <f>Table1[[#This Row],[StartTime]]+$BG$2</f>
        <v>4.1666666666666664E-2</v>
      </c>
    </row>
    <row r="272" spans="1:60" x14ac:dyDescent="0.25">
      <c r="A272" s="16"/>
      <c r="B272" s="2"/>
      <c r="D272" s="16"/>
      <c r="E272" s="16"/>
      <c r="G272" s="1"/>
      <c r="H272" s="1"/>
      <c r="I272" s="1"/>
      <c r="J272" s="1"/>
      <c r="K272" s="33"/>
      <c r="L272" s="22"/>
      <c r="M272" s="1"/>
      <c r="N272" s="1"/>
      <c r="O272" s="1"/>
      <c r="P272" s="1"/>
      <c r="Q272" s="1"/>
      <c r="R272" s="1"/>
      <c r="S272" s="1"/>
      <c r="BB272" s="9" t="str">
        <f t="shared" si="16"/>
        <v>Yes</v>
      </c>
      <c r="BC272" s="9" t="str">
        <f>IF(EFB!$N272=Table1[[#This Row],[ProgramTitle]],"Yes","No")</f>
        <v>Yes</v>
      </c>
      <c r="BD272" s="9" t="str">
        <f>IF(EFB!$S272=Table1[[#This Row],[SeriesEpisodeTitle]],"Yes","No")</f>
        <v>Yes</v>
      </c>
      <c r="BE272" s="11">
        <f t="shared" si="17"/>
        <v>0</v>
      </c>
      <c r="BF272" s="11">
        <f t="shared" si="18"/>
        <v>0</v>
      </c>
      <c r="BH272" s="21">
        <f>Table1[[#This Row],[StartTime]]+$BG$2</f>
        <v>4.1666666666666664E-2</v>
      </c>
    </row>
    <row r="273" spans="1:60" x14ac:dyDescent="0.25">
      <c r="A273" s="16"/>
      <c r="B273" s="2"/>
      <c r="D273" s="16"/>
      <c r="E273" s="16"/>
      <c r="G273" s="1"/>
      <c r="H273" s="1"/>
      <c r="I273" s="1"/>
      <c r="J273" s="1"/>
      <c r="K273" s="33"/>
      <c r="L273" s="22"/>
      <c r="M273" s="1"/>
      <c r="N273" s="1"/>
      <c r="O273" s="1"/>
      <c r="P273" s="1"/>
      <c r="Q273" s="1"/>
      <c r="R273" s="1"/>
      <c r="S273" s="1"/>
      <c r="BB273" s="9" t="str">
        <f t="shared" si="16"/>
        <v>Yes</v>
      </c>
      <c r="BC273" s="9" t="str">
        <f>IF(EFB!$N273=Table1[[#This Row],[ProgramTitle]],"Yes","No")</f>
        <v>Yes</v>
      </c>
      <c r="BD273" s="9" t="str">
        <f>IF(EFB!$S273=Table1[[#This Row],[SeriesEpisodeTitle]],"Yes","No")</f>
        <v>Yes</v>
      </c>
      <c r="BE273" s="11">
        <f t="shared" si="17"/>
        <v>0</v>
      </c>
      <c r="BF273" s="11">
        <f t="shared" si="18"/>
        <v>0</v>
      </c>
      <c r="BH273" s="21">
        <f>Table1[[#This Row],[StartTime]]+$BG$2</f>
        <v>4.1666666666666664E-2</v>
      </c>
    </row>
    <row r="274" spans="1:60" x14ac:dyDescent="0.25">
      <c r="A274" s="16"/>
      <c r="B274" s="2"/>
      <c r="D274" s="16"/>
      <c r="E274" s="16"/>
      <c r="G274" s="1"/>
      <c r="H274" s="1"/>
      <c r="I274" s="1"/>
      <c r="J274" s="1"/>
      <c r="K274" s="33"/>
      <c r="L274" s="22"/>
      <c r="M274" s="1"/>
      <c r="N274" s="1"/>
      <c r="O274" s="1"/>
      <c r="P274" s="1"/>
      <c r="Q274" s="1"/>
      <c r="R274" s="1"/>
      <c r="S274" s="1"/>
      <c r="BB274" s="9" t="str">
        <f t="shared" si="16"/>
        <v>Yes</v>
      </c>
      <c r="BC274" s="9" t="str">
        <f>IF(EFB!$N274=Table1[[#This Row],[ProgramTitle]],"Yes","No")</f>
        <v>Yes</v>
      </c>
      <c r="BD274" s="9" t="str">
        <f>IF(EFB!$S274=Table1[[#This Row],[SeriesEpisodeTitle]],"Yes","No")</f>
        <v>Yes</v>
      </c>
      <c r="BE274" s="11">
        <f t="shared" si="17"/>
        <v>0</v>
      </c>
      <c r="BF274" s="11">
        <f t="shared" si="18"/>
        <v>0</v>
      </c>
      <c r="BH274" s="21">
        <f>Table1[[#This Row],[StartTime]]+$BG$2</f>
        <v>4.1666666666666664E-2</v>
      </c>
    </row>
    <row r="275" spans="1:60" x14ac:dyDescent="0.25">
      <c r="A275" s="16"/>
      <c r="B275" s="2"/>
      <c r="D275" s="16"/>
      <c r="E275" s="16"/>
      <c r="G275" s="1"/>
      <c r="H275" s="1"/>
      <c r="I275" s="1"/>
      <c r="J275" s="1"/>
      <c r="K275" s="33"/>
      <c r="L275" s="22"/>
      <c r="M275" s="1"/>
      <c r="N275" s="1"/>
      <c r="O275" s="1"/>
      <c r="P275" s="1"/>
      <c r="Q275" s="1"/>
      <c r="R275" s="1"/>
      <c r="S275" s="1"/>
      <c r="BB275" s="9" t="str">
        <f t="shared" si="16"/>
        <v>Yes</v>
      </c>
      <c r="BC275" s="9" t="str">
        <f>IF(EFB!$N275=Table1[[#This Row],[ProgramTitle]],"Yes","No")</f>
        <v>Yes</v>
      </c>
      <c r="BD275" s="9" t="str">
        <f>IF(EFB!$S275=Table1[[#This Row],[SeriesEpisodeTitle]],"Yes","No")</f>
        <v>Yes</v>
      </c>
      <c r="BE275" s="11">
        <f t="shared" si="17"/>
        <v>0</v>
      </c>
      <c r="BF275" s="11">
        <f t="shared" si="18"/>
        <v>0</v>
      </c>
      <c r="BH275" s="21">
        <f>Table1[[#This Row],[StartTime]]+$BG$2</f>
        <v>4.1666666666666664E-2</v>
      </c>
    </row>
    <row r="276" spans="1:60" x14ac:dyDescent="0.25">
      <c r="A276" s="16"/>
      <c r="B276" s="2"/>
      <c r="D276" s="16"/>
      <c r="E276" s="16"/>
      <c r="G276" s="1"/>
      <c r="H276" s="1"/>
      <c r="I276" s="1"/>
      <c r="J276" s="1"/>
      <c r="K276" s="33"/>
      <c r="L276" s="22"/>
      <c r="M276" s="1"/>
      <c r="N276" s="1"/>
      <c r="O276" s="1"/>
      <c r="P276" s="1"/>
      <c r="Q276" s="1"/>
      <c r="R276" s="1"/>
      <c r="S276" s="1"/>
      <c r="BB276" s="9" t="str">
        <f t="shared" si="16"/>
        <v>Yes</v>
      </c>
      <c r="BC276" s="9" t="str">
        <f>IF(EFB!$N276=Table1[[#This Row],[ProgramTitle]],"Yes","No")</f>
        <v>Yes</v>
      </c>
      <c r="BD276" s="9" t="str">
        <f>IF(EFB!$S276=Table1[[#This Row],[SeriesEpisodeTitle]],"Yes","No")</f>
        <v>Yes</v>
      </c>
      <c r="BE276" s="11">
        <f t="shared" si="17"/>
        <v>0</v>
      </c>
      <c r="BF276" s="11">
        <f t="shared" si="18"/>
        <v>0</v>
      </c>
      <c r="BH276" s="21">
        <f>Table1[[#This Row],[StartTime]]+$BG$2</f>
        <v>4.1666666666666664E-2</v>
      </c>
    </row>
    <row r="277" spans="1:60" x14ac:dyDescent="0.25">
      <c r="A277" s="16"/>
      <c r="B277" s="2"/>
      <c r="D277" s="16"/>
      <c r="E277" s="16"/>
      <c r="G277" s="1"/>
      <c r="H277" s="1"/>
      <c r="I277" s="1"/>
      <c r="J277" s="1"/>
      <c r="K277" s="33"/>
      <c r="L277" s="22"/>
      <c r="M277" s="1"/>
      <c r="N277" s="1"/>
      <c r="O277" s="1"/>
      <c r="P277" s="1"/>
      <c r="Q277" s="1"/>
      <c r="R277" s="1"/>
      <c r="S277" s="1"/>
      <c r="BB277" s="9" t="str">
        <f t="shared" si="16"/>
        <v>Yes</v>
      </c>
      <c r="BC277" s="9" t="str">
        <f>IF(EFB!$N277=Table1[[#This Row],[ProgramTitle]],"Yes","No")</f>
        <v>Yes</v>
      </c>
      <c r="BD277" s="9" t="str">
        <f>IF(EFB!$S277=Table1[[#This Row],[SeriesEpisodeTitle]],"Yes","No")</f>
        <v>Yes</v>
      </c>
      <c r="BE277" s="11">
        <f t="shared" si="17"/>
        <v>0</v>
      </c>
      <c r="BF277" s="11">
        <f t="shared" si="18"/>
        <v>0</v>
      </c>
      <c r="BH277" s="21">
        <f>Table1[[#This Row],[StartTime]]+$BG$2</f>
        <v>4.1666666666666664E-2</v>
      </c>
    </row>
    <row r="278" spans="1:60" x14ac:dyDescent="0.25">
      <c r="A278" s="16"/>
      <c r="B278" s="2"/>
      <c r="D278" s="16"/>
      <c r="E278" s="16"/>
      <c r="G278" s="1"/>
      <c r="H278" s="1"/>
      <c r="I278" s="1"/>
      <c r="J278" s="1"/>
      <c r="K278" s="33"/>
      <c r="L278" s="22"/>
      <c r="M278" s="1"/>
      <c r="N278" s="1"/>
      <c r="O278" s="1"/>
      <c r="P278" s="1"/>
      <c r="Q278" s="1"/>
      <c r="R278" s="1"/>
      <c r="S278" s="1"/>
      <c r="BB278" s="9" t="str">
        <f t="shared" si="16"/>
        <v>Yes</v>
      </c>
      <c r="BC278" s="9" t="str">
        <f>IF(EFB!$N278=Table1[[#This Row],[ProgramTitle]],"Yes","No")</f>
        <v>Yes</v>
      </c>
      <c r="BD278" s="9" t="str">
        <f>IF(EFB!$S278=Table1[[#This Row],[SeriesEpisodeTitle]],"Yes","No")</f>
        <v>Yes</v>
      </c>
      <c r="BE278" s="11">
        <f t="shared" si="17"/>
        <v>0</v>
      </c>
      <c r="BF278" s="11">
        <f t="shared" si="18"/>
        <v>0</v>
      </c>
      <c r="BH278" s="21">
        <f>Table1[[#This Row],[StartTime]]+$BG$2</f>
        <v>4.1666666666666664E-2</v>
      </c>
    </row>
    <row r="279" spans="1:60" x14ac:dyDescent="0.25">
      <c r="A279" s="16"/>
      <c r="B279" s="2"/>
      <c r="D279" s="16"/>
      <c r="E279" s="16"/>
      <c r="G279" s="1"/>
      <c r="H279" s="1"/>
      <c r="I279" s="1"/>
      <c r="J279" s="1"/>
      <c r="K279" s="33"/>
      <c r="L279" s="22"/>
      <c r="M279" s="1"/>
      <c r="N279" s="1"/>
      <c r="O279" s="1"/>
      <c r="P279" s="1"/>
      <c r="Q279" s="1"/>
      <c r="R279" s="1"/>
      <c r="S279" s="1"/>
      <c r="BB279" s="9" t="str">
        <f t="shared" si="16"/>
        <v>Yes</v>
      </c>
      <c r="BC279" s="9" t="str">
        <f>IF(EFB!$N279=Table1[[#This Row],[ProgramTitle]],"Yes","No")</f>
        <v>Yes</v>
      </c>
      <c r="BD279" s="9" t="str">
        <f>IF(EFB!$S279=Table1[[#This Row],[SeriesEpisodeTitle]],"Yes","No")</f>
        <v>Yes</v>
      </c>
      <c r="BE279" s="11">
        <f t="shared" si="17"/>
        <v>0</v>
      </c>
      <c r="BF279" s="11">
        <f t="shared" si="18"/>
        <v>0</v>
      </c>
      <c r="BH279" s="21">
        <f>Table1[[#This Row],[StartTime]]+$BG$2</f>
        <v>4.1666666666666664E-2</v>
      </c>
    </row>
    <row r="280" spans="1:60" x14ac:dyDescent="0.25">
      <c r="A280" s="16"/>
      <c r="B280" s="2"/>
      <c r="D280" s="16"/>
      <c r="E280" s="16"/>
      <c r="G280" s="1"/>
      <c r="H280" s="1"/>
      <c r="I280" s="1"/>
      <c r="J280" s="1"/>
      <c r="K280" s="33"/>
      <c r="L280" s="22"/>
      <c r="M280" s="1"/>
      <c r="N280" s="1"/>
      <c r="O280" s="1"/>
      <c r="P280" s="1"/>
      <c r="Q280" s="1"/>
      <c r="R280" s="1"/>
      <c r="S280" s="1"/>
      <c r="BB280" s="9" t="str">
        <f t="shared" si="16"/>
        <v>Yes</v>
      </c>
      <c r="BC280" s="9" t="str">
        <f>IF(EFB!$N280=Table1[[#This Row],[ProgramTitle]],"Yes","No")</f>
        <v>Yes</v>
      </c>
      <c r="BD280" s="9" t="str">
        <f>IF(EFB!$S280=Table1[[#This Row],[SeriesEpisodeTitle]],"Yes","No")</f>
        <v>Yes</v>
      </c>
      <c r="BE280" s="11">
        <f t="shared" si="17"/>
        <v>0</v>
      </c>
      <c r="BF280" s="11">
        <f t="shared" si="18"/>
        <v>0</v>
      </c>
      <c r="BH280" s="21">
        <f>Table1[[#This Row],[StartTime]]+$BG$2</f>
        <v>4.1666666666666664E-2</v>
      </c>
    </row>
    <row r="281" spans="1:60" x14ac:dyDescent="0.25">
      <c r="A281" s="16"/>
      <c r="B281" s="2"/>
      <c r="D281" s="16"/>
      <c r="E281" s="16"/>
      <c r="G281" s="1"/>
      <c r="H281" s="1"/>
      <c r="I281" s="1"/>
      <c r="J281" s="1"/>
      <c r="K281" s="33"/>
      <c r="L281" s="22"/>
      <c r="M281" s="1"/>
      <c r="N281" s="1"/>
      <c r="O281" s="1"/>
      <c r="P281" s="1"/>
      <c r="Q281" s="1"/>
      <c r="R281" s="1"/>
      <c r="S281" s="1"/>
      <c r="BB281" s="9" t="str">
        <f t="shared" si="16"/>
        <v>Yes</v>
      </c>
      <c r="BC281" s="9" t="str">
        <f>IF(EFB!$N281=Table1[[#This Row],[ProgramTitle]],"Yes","No")</f>
        <v>Yes</v>
      </c>
      <c r="BD281" s="9" t="str">
        <f>IF(EFB!$S281=Table1[[#This Row],[SeriesEpisodeTitle]],"Yes","No")</f>
        <v>Yes</v>
      </c>
      <c r="BE281" s="11">
        <f t="shared" si="17"/>
        <v>0</v>
      </c>
      <c r="BF281" s="11">
        <f t="shared" si="18"/>
        <v>0</v>
      </c>
      <c r="BH281" s="21">
        <f>Table1[[#This Row],[StartTime]]+$BG$2</f>
        <v>4.1666666666666664E-2</v>
      </c>
    </row>
    <row r="282" spans="1:60" x14ac:dyDescent="0.25">
      <c r="A282" s="16"/>
      <c r="B282" s="2"/>
      <c r="D282" s="16"/>
      <c r="E282" s="16"/>
      <c r="G282" s="1"/>
      <c r="H282" s="1"/>
      <c r="I282" s="1"/>
      <c r="J282" s="1"/>
      <c r="K282" s="33"/>
      <c r="L282" s="22"/>
      <c r="M282" s="1"/>
      <c r="N282" s="1"/>
      <c r="O282" s="1"/>
      <c r="P282" s="1"/>
      <c r="Q282" s="1"/>
      <c r="R282" s="1"/>
      <c r="S282" s="1"/>
      <c r="BB282" s="9" t="str">
        <f t="shared" si="16"/>
        <v>Yes</v>
      </c>
      <c r="BC282" s="9" t="str">
        <f>IF(EFB!$N282=Table1[[#This Row],[ProgramTitle]],"Yes","No")</f>
        <v>Yes</v>
      </c>
      <c r="BD282" s="9" t="str">
        <f>IF(EFB!$S282=Table1[[#This Row],[SeriesEpisodeTitle]],"Yes","No")</f>
        <v>Yes</v>
      </c>
      <c r="BE282" s="11">
        <f t="shared" si="17"/>
        <v>0</v>
      </c>
      <c r="BF282" s="11">
        <f t="shared" si="18"/>
        <v>0</v>
      </c>
      <c r="BH282" s="21">
        <f>Table1[[#This Row],[StartTime]]+$BG$2</f>
        <v>4.1666666666666664E-2</v>
      </c>
    </row>
    <row r="283" spans="1:60" x14ac:dyDescent="0.25">
      <c r="A283" s="16"/>
      <c r="B283" s="2"/>
      <c r="D283" s="16"/>
      <c r="E283" s="16"/>
      <c r="G283" s="1"/>
      <c r="H283" s="1"/>
      <c r="I283" s="1"/>
      <c r="J283" s="1"/>
      <c r="K283" s="33"/>
      <c r="L283" s="22"/>
      <c r="M283" s="1"/>
      <c r="N283" s="1"/>
      <c r="O283" s="1"/>
      <c r="P283" s="1"/>
      <c r="Q283" s="1"/>
      <c r="R283" s="1"/>
      <c r="S283" s="1"/>
      <c r="BB283" s="9" t="str">
        <f t="shared" si="16"/>
        <v>Yes</v>
      </c>
      <c r="BC283" s="9" t="str">
        <f>IF(EFB!$N283=Table1[[#This Row],[ProgramTitle]],"Yes","No")</f>
        <v>Yes</v>
      </c>
      <c r="BD283" s="9" t="str">
        <f>IF(EFB!$S283=Table1[[#This Row],[SeriesEpisodeTitle]],"Yes","No")</f>
        <v>Yes</v>
      </c>
      <c r="BE283" s="11">
        <f t="shared" si="17"/>
        <v>0</v>
      </c>
      <c r="BF283" s="11">
        <f t="shared" si="18"/>
        <v>0</v>
      </c>
      <c r="BH283" s="21">
        <f>Table1[[#This Row],[StartTime]]+$BG$2</f>
        <v>4.1666666666666664E-2</v>
      </c>
    </row>
    <row r="284" spans="1:60" x14ac:dyDescent="0.25">
      <c r="A284" s="16"/>
      <c r="B284" s="2"/>
      <c r="D284" s="16"/>
      <c r="E284" s="16"/>
      <c r="G284" s="1"/>
      <c r="H284" s="1"/>
      <c r="I284" s="1"/>
      <c r="J284" s="1"/>
      <c r="K284" s="33"/>
      <c r="L284" s="22"/>
      <c r="M284" s="1"/>
      <c r="N284" s="1"/>
      <c r="O284" s="1"/>
      <c r="P284" s="1"/>
      <c r="Q284" s="1"/>
      <c r="R284" s="1"/>
      <c r="S284" s="1"/>
      <c r="BB284" s="9" t="str">
        <f t="shared" si="16"/>
        <v>Yes</v>
      </c>
      <c r="BC284" s="9" t="str">
        <f>IF(EFB!$N284=Table1[[#This Row],[ProgramTitle]],"Yes","No")</f>
        <v>Yes</v>
      </c>
      <c r="BD284" s="9" t="str">
        <f>IF(EFB!$S284=Table1[[#This Row],[SeriesEpisodeTitle]],"Yes","No")</f>
        <v>Yes</v>
      </c>
      <c r="BE284" s="11">
        <f t="shared" si="17"/>
        <v>0</v>
      </c>
      <c r="BF284" s="11">
        <f t="shared" si="18"/>
        <v>0</v>
      </c>
      <c r="BH284" s="21">
        <f>Table1[[#This Row],[StartTime]]+$BG$2</f>
        <v>4.1666666666666664E-2</v>
      </c>
    </row>
    <row r="285" spans="1:60" x14ac:dyDescent="0.25">
      <c r="A285" s="16"/>
      <c r="B285" s="2"/>
      <c r="D285" s="16"/>
      <c r="E285" s="16"/>
      <c r="G285" s="1"/>
      <c r="H285" s="1"/>
      <c r="I285" s="1"/>
      <c r="J285" s="1"/>
      <c r="K285" s="33"/>
      <c r="L285" s="22"/>
      <c r="M285" s="1"/>
      <c r="N285" s="1"/>
      <c r="O285" s="1"/>
      <c r="P285" s="1"/>
      <c r="Q285" s="1"/>
      <c r="R285" s="1"/>
      <c r="S285" s="1"/>
      <c r="BB285" s="9" t="str">
        <f t="shared" si="16"/>
        <v>Yes</v>
      </c>
      <c r="BC285" s="9" t="str">
        <f>IF(EFB!$N285=Table1[[#This Row],[ProgramTitle]],"Yes","No")</f>
        <v>Yes</v>
      </c>
      <c r="BD285" s="9" t="str">
        <f>IF(EFB!$S285=Table1[[#This Row],[SeriesEpisodeTitle]],"Yes","No")</f>
        <v>Yes</v>
      </c>
      <c r="BE285" s="11">
        <f t="shared" si="17"/>
        <v>0</v>
      </c>
      <c r="BF285" s="11">
        <f t="shared" si="18"/>
        <v>0</v>
      </c>
      <c r="BH285" s="21">
        <f>Table1[[#This Row],[StartTime]]+$BG$2</f>
        <v>4.1666666666666664E-2</v>
      </c>
    </row>
    <row r="286" spans="1:60" x14ac:dyDescent="0.25">
      <c r="A286" s="16"/>
      <c r="B286" s="2"/>
      <c r="D286" s="16"/>
      <c r="E286" s="16"/>
      <c r="G286" s="1"/>
      <c r="H286" s="1"/>
      <c r="I286" s="1"/>
      <c r="J286" s="1"/>
      <c r="K286" s="33"/>
      <c r="L286" s="22"/>
      <c r="M286" s="1"/>
      <c r="N286" s="1"/>
      <c r="O286" s="1"/>
      <c r="P286" s="1"/>
      <c r="Q286" s="1"/>
      <c r="R286" s="1"/>
      <c r="S286" s="1"/>
      <c r="BB286" s="9" t="str">
        <f t="shared" si="16"/>
        <v>Yes</v>
      </c>
      <c r="BC286" s="9" t="str">
        <f>IF(EFB!$N286=Table1[[#This Row],[ProgramTitle]],"Yes","No")</f>
        <v>Yes</v>
      </c>
      <c r="BD286" s="9" t="str">
        <f>IF(EFB!$S286=Table1[[#This Row],[SeriesEpisodeTitle]],"Yes","No")</f>
        <v>Yes</v>
      </c>
      <c r="BE286" s="11">
        <f t="shared" si="17"/>
        <v>0</v>
      </c>
      <c r="BF286" s="11">
        <f t="shared" si="18"/>
        <v>0</v>
      </c>
      <c r="BH286" s="21">
        <f>Table1[[#This Row],[StartTime]]+$BG$2</f>
        <v>4.1666666666666664E-2</v>
      </c>
    </row>
    <row r="287" spans="1:60" x14ac:dyDescent="0.25">
      <c r="A287" s="16"/>
      <c r="B287" s="2"/>
      <c r="D287" s="16"/>
      <c r="E287" s="16"/>
      <c r="G287" s="1"/>
      <c r="H287" s="1"/>
      <c r="I287" s="1"/>
      <c r="J287" s="1"/>
      <c r="K287" s="33"/>
      <c r="L287" s="22"/>
      <c r="M287" s="1"/>
      <c r="N287" s="1"/>
      <c r="O287" s="1"/>
      <c r="P287" s="1"/>
      <c r="Q287" s="1"/>
      <c r="R287" s="1"/>
      <c r="S287" s="1"/>
      <c r="BB287" s="9" t="str">
        <f t="shared" si="16"/>
        <v>Yes</v>
      </c>
      <c r="BC287" s="9" t="str">
        <f>IF(EFB!$N287=Table1[[#This Row],[ProgramTitle]],"Yes","No")</f>
        <v>Yes</v>
      </c>
      <c r="BD287" s="9" t="str">
        <f>IF(EFB!$S287=Table1[[#This Row],[SeriesEpisodeTitle]],"Yes","No")</f>
        <v>Yes</v>
      </c>
      <c r="BE287" s="11">
        <f t="shared" si="17"/>
        <v>0</v>
      </c>
      <c r="BF287" s="11">
        <f t="shared" si="18"/>
        <v>0</v>
      </c>
      <c r="BH287" s="21">
        <f>Table1[[#This Row],[StartTime]]+$BG$2</f>
        <v>4.1666666666666664E-2</v>
      </c>
    </row>
    <row r="288" spans="1:60" x14ac:dyDescent="0.25">
      <c r="A288" s="16"/>
      <c r="B288" s="2"/>
      <c r="D288" s="16"/>
      <c r="E288" s="16"/>
      <c r="G288" s="1"/>
      <c r="H288" s="1"/>
      <c r="I288" s="1"/>
      <c r="J288" s="1"/>
      <c r="K288" s="33"/>
      <c r="L288" s="22"/>
      <c r="M288" s="1"/>
      <c r="N288" s="1"/>
      <c r="O288" s="1"/>
      <c r="P288" s="1"/>
      <c r="Q288" s="1"/>
      <c r="R288" s="1"/>
      <c r="S288" s="1"/>
      <c r="BB288" s="9" t="str">
        <f t="shared" si="16"/>
        <v>Yes</v>
      </c>
      <c r="BC288" s="9" t="str">
        <f>IF(EFB!$N288=Table1[[#This Row],[ProgramTitle]],"Yes","No")</f>
        <v>Yes</v>
      </c>
      <c r="BD288" s="9" t="str">
        <f>IF(EFB!$S288=Table1[[#This Row],[SeriesEpisodeTitle]],"Yes","No")</f>
        <v>Yes</v>
      </c>
      <c r="BE288" s="11">
        <f t="shared" si="17"/>
        <v>0</v>
      </c>
      <c r="BF288" s="11">
        <f t="shared" si="18"/>
        <v>0</v>
      </c>
      <c r="BH288" s="21">
        <f>Table1[[#This Row],[StartTime]]+$BG$2</f>
        <v>4.1666666666666664E-2</v>
      </c>
    </row>
    <row r="289" spans="1:60" x14ac:dyDescent="0.25">
      <c r="A289" s="16"/>
      <c r="B289" s="2"/>
      <c r="D289" s="16"/>
      <c r="E289" s="16"/>
      <c r="G289" s="1"/>
      <c r="H289" s="1"/>
      <c r="I289" s="1"/>
      <c r="J289" s="1"/>
      <c r="K289" s="33"/>
      <c r="L289" s="22"/>
      <c r="M289" s="1"/>
      <c r="N289" s="1"/>
      <c r="O289" s="1"/>
      <c r="P289" s="1"/>
      <c r="Q289" s="1"/>
      <c r="R289" s="1"/>
      <c r="S289" s="1"/>
      <c r="BB289" s="9" t="str">
        <f t="shared" si="16"/>
        <v>Yes</v>
      </c>
      <c r="BC289" s="9" t="str">
        <f>IF(EFB!$N289=Table1[[#This Row],[ProgramTitle]],"Yes","No")</f>
        <v>Yes</v>
      </c>
      <c r="BD289" s="9" t="str">
        <f>IF(EFB!$S289=Table1[[#This Row],[SeriesEpisodeTitle]],"Yes","No")</f>
        <v>Yes</v>
      </c>
      <c r="BE289" s="11">
        <f t="shared" si="17"/>
        <v>0</v>
      </c>
      <c r="BF289" s="11">
        <f t="shared" si="18"/>
        <v>0</v>
      </c>
      <c r="BH289" s="21">
        <f>Table1[[#This Row],[StartTime]]+$BG$2</f>
        <v>4.1666666666666664E-2</v>
      </c>
    </row>
    <row r="290" spans="1:60" x14ac:dyDescent="0.25">
      <c r="A290" s="16"/>
      <c r="B290" s="2"/>
      <c r="D290" s="16"/>
      <c r="E290" s="16"/>
      <c r="G290" s="1"/>
      <c r="H290" s="1"/>
      <c r="I290" s="1"/>
      <c r="J290" s="1"/>
      <c r="K290" s="33"/>
      <c r="L290" s="22"/>
      <c r="M290" s="1"/>
      <c r="N290" s="1"/>
      <c r="O290" s="1"/>
      <c r="P290" s="1"/>
      <c r="Q290" s="1"/>
      <c r="R290" s="1"/>
      <c r="S290" s="1"/>
      <c r="BB290" s="9" t="str">
        <f t="shared" si="16"/>
        <v>Yes</v>
      </c>
      <c r="BC290" s="9" t="str">
        <f>IF(EFB!$N290=Table1[[#This Row],[ProgramTitle]],"Yes","No")</f>
        <v>Yes</v>
      </c>
      <c r="BD290" s="9" t="str">
        <f>IF(EFB!$S290=Table1[[#This Row],[SeriesEpisodeTitle]],"Yes","No")</f>
        <v>Yes</v>
      </c>
      <c r="BE290" s="11">
        <f t="shared" si="17"/>
        <v>0</v>
      </c>
      <c r="BF290" s="11">
        <f t="shared" si="18"/>
        <v>0</v>
      </c>
      <c r="BH290" s="21">
        <f>Table1[[#This Row],[StartTime]]+$BG$2</f>
        <v>4.1666666666666664E-2</v>
      </c>
    </row>
    <row r="291" spans="1:60" x14ac:dyDescent="0.25">
      <c r="A291" s="16"/>
      <c r="B291" s="2"/>
      <c r="D291" s="16"/>
      <c r="E291" s="16"/>
      <c r="G291" s="1"/>
      <c r="H291" s="1"/>
      <c r="I291" s="1"/>
      <c r="J291" s="1"/>
      <c r="K291" s="33"/>
      <c r="L291" s="22"/>
      <c r="M291" s="1"/>
      <c r="N291" s="1"/>
      <c r="O291" s="1"/>
      <c r="P291" s="1"/>
      <c r="Q291" s="1"/>
      <c r="R291" s="1"/>
      <c r="S291" s="1"/>
      <c r="BB291" s="9" t="str">
        <f t="shared" si="16"/>
        <v>Yes</v>
      </c>
      <c r="BC291" s="9" t="str">
        <f>IF(EFB!$N291=Table1[[#This Row],[ProgramTitle]],"Yes","No")</f>
        <v>Yes</v>
      </c>
      <c r="BD291" s="9" t="str">
        <f>IF(EFB!$S291=Table1[[#This Row],[SeriesEpisodeTitle]],"Yes","No")</f>
        <v>Yes</v>
      </c>
      <c r="BE291" s="11">
        <f t="shared" si="17"/>
        <v>0</v>
      </c>
      <c r="BF291" s="11">
        <f t="shared" si="18"/>
        <v>0</v>
      </c>
      <c r="BH291" s="21">
        <f>Table1[[#This Row],[StartTime]]+$BG$2</f>
        <v>4.1666666666666664E-2</v>
      </c>
    </row>
    <row r="292" spans="1:60" x14ac:dyDescent="0.25">
      <c r="A292" s="16"/>
      <c r="B292" s="2"/>
      <c r="D292" s="16"/>
      <c r="E292" s="16"/>
      <c r="G292" s="1"/>
      <c r="H292" s="1"/>
      <c r="I292" s="1"/>
      <c r="J292" s="1"/>
      <c r="K292" s="33"/>
      <c r="L292" s="22"/>
      <c r="M292" s="1"/>
      <c r="N292" s="1"/>
      <c r="O292" s="1"/>
      <c r="P292" s="1"/>
      <c r="Q292" s="1"/>
      <c r="R292" s="1"/>
      <c r="S292" s="1"/>
      <c r="BB292" s="9" t="str">
        <f t="shared" si="16"/>
        <v>Yes</v>
      </c>
      <c r="BC292" s="9" t="str">
        <f>IF(EFB!$N292=Table1[[#This Row],[ProgramTitle]],"Yes","No")</f>
        <v>Yes</v>
      </c>
      <c r="BD292" s="9" t="str">
        <f>IF(EFB!$S292=Table1[[#This Row],[SeriesEpisodeTitle]],"Yes","No")</f>
        <v>Yes</v>
      </c>
      <c r="BE292" s="11">
        <f t="shared" si="17"/>
        <v>0</v>
      </c>
      <c r="BF292" s="11">
        <f t="shared" si="18"/>
        <v>0</v>
      </c>
      <c r="BH292" s="21">
        <f>Table1[[#This Row],[StartTime]]+$BG$2</f>
        <v>4.1666666666666664E-2</v>
      </c>
    </row>
    <row r="293" spans="1:60" x14ac:dyDescent="0.25">
      <c r="A293" s="16"/>
      <c r="B293" s="2"/>
      <c r="D293" s="16"/>
      <c r="E293" s="16"/>
      <c r="G293" s="1"/>
      <c r="H293" s="1"/>
      <c r="I293" s="1"/>
      <c r="J293" s="1"/>
      <c r="K293" s="33"/>
      <c r="L293" s="22"/>
      <c r="M293" s="1"/>
      <c r="N293" s="1"/>
      <c r="O293" s="1"/>
      <c r="P293" s="1"/>
      <c r="Q293" s="1"/>
      <c r="R293" s="1"/>
      <c r="S293" s="1"/>
      <c r="BB293" s="9" t="str">
        <f t="shared" si="16"/>
        <v>Yes</v>
      </c>
      <c r="BC293" s="9" t="str">
        <f>IF(EFB!$N293=Table1[[#This Row],[ProgramTitle]],"Yes","No")</f>
        <v>Yes</v>
      </c>
      <c r="BD293" s="9" t="str">
        <f>IF(EFB!$S293=Table1[[#This Row],[SeriesEpisodeTitle]],"Yes","No")</f>
        <v>Yes</v>
      </c>
      <c r="BE293" s="11">
        <f t="shared" si="17"/>
        <v>0</v>
      </c>
      <c r="BF293" s="11">
        <f t="shared" si="18"/>
        <v>0</v>
      </c>
      <c r="BH293" s="21">
        <f>Table1[[#This Row],[StartTime]]+$BG$2</f>
        <v>4.1666666666666664E-2</v>
      </c>
    </row>
    <row r="294" spans="1:60" x14ac:dyDescent="0.25">
      <c r="A294" s="16"/>
      <c r="B294" s="2"/>
      <c r="D294" s="16"/>
      <c r="E294" s="16"/>
      <c r="G294" s="1"/>
      <c r="H294" s="1"/>
      <c r="I294" s="1"/>
      <c r="J294" s="1"/>
      <c r="K294" s="33"/>
      <c r="L294" s="22"/>
      <c r="M294" s="1"/>
      <c r="N294" s="1"/>
      <c r="O294" s="1"/>
      <c r="P294" s="1"/>
      <c r="Q294" s="1"/>
      <c r="R294" s="1"/>
      <c r="S294" s="1"/>
      <c r="BB294" s="9" t="str">
        <f t="shared" si="16"/>
        <v>Yes</v>
      </c>
      <c r="BC294" s="9" t="str">
        <f>IF(EFB!$N294=Table1[[#This Row],[ProgramTitle]],"Yes","No")</f>
        <v>Yes</v>
      </c>
      <c r="BD294" s="9" t="str">
        <f>IF(EFB!$S294=Table1[[#This Row],[SeriesEpisodeTitle]],"Yes","No")</f>
        <v>Yes</v>
      </c>
      <c r="BE294" s="11">
        <f t="shared" si="17"/>
        <v>0</v>
      </c>
      <c r="BF294" s="11">
        <f t="shared" si="18"/>
        <v>0</v>
      </c>
      <c r="BH294" s="21">
        <f>Table1[[#This Row],[StartTime]]+$BG$2</f>
        <v>4.1666666666666664E-2</v>
      </c>
    </row>
    <row r="295" spans="1:60" x14ac:dyDescent="0.25">
      <c r="A295" s="16"/>
      <c r="B295" s="2"/>
      <c r="D295" s="16"/>
      <c r="E295" s="16"/>
      <c r="G295" s="1"/>
      <c r="H295" s="1"/>
      <c r="I295" s="1"/>
      <c r="J295" s="1"/>
      <c r="K295" s="33"/>
      <c r="L295" s="22"/>
      <c r="M295" s="1"/>
      <c r="N295" s="1"/>
      <c r="O295" s="1"/>
      <c r="P295" s="1"/>
      <c r="Q295" s="1"/>
      <c r="R295" s="1"/>
      <c r="S295" s="1"/>
      <c r="BB295" s="9" t="str">
        <f t="shared" si="16"/>
        <v>Yes</v>
      </c>
      <c r="BC295" s="9" t="str">
        <f>IF(EFB!$N295=Table1[[#This Row],[ProgramTitle]],"Yes","No")</f>
        <v>Yes</v>
      </c>
      <c r="BD295" s="9" t="str">
        <f>IF(EFB!$S295=Table1[[#This Row],[SeriesEpisodeTitle]],"Yes","No")</f>
        <v>Yes</v>
      </c>
      <c r="BE295" s="11">
        <f t="shared" si="17"/>
        <v>0</v>
      </c>
      <c r="BF295" s="11">
        <f t="shared" si="18"/>
        <v>0</v>
      </c>
      <c r="BH295" s="21">
        <f>Table1[[#This Row],[StartTime]]+$BG$2</f>
        <v>4.1666666666666664E-2</v>
      </c>
    </row>
    <row r="296" spans="1:60" x14ac:dyDescent="0.25">
      <c r="A296" s="16"/>
      <c r="B296" s="2"/>
      <c r="D296" s="16"/>
      <c r="E296" s="16"/>
      <c r="G296" s="1"/>
      <c r="H296" s="1"/>
      <c r="I296" s="1"/>
      <c r="J296" s="1"/>
      <c r="K296" s="33"/>
      <c r="L296" s="22"/>
      <c r="M296" s="1"/>
      <c r="N296" s="1"/>
      <c r="O296" s="1"/>
      <c r="P296" s="1"/>
      <c r="Q296" s="1"/>
      <c r="R296" s="1"/>
      <c r="S296" s="1"/>
      <c r="BB296" s="9" t="str">
        <f t="shared" si="16"/>
        <v>Yes</v>
      </c>
      <c r="BC296" s="9" t="str">
        <f>IF(EFB!$N296=Table1[[#This Row],[ProgramTitle]],"Yes","No")</f>
        <v>Yes</v>
      </c>
      <c r="BD296" s="9" t="str">
        <f>IF(EFB!$S296=Table1[[#This Row],[SeriesEpisodeTitle]],"Yes","No")</f>
        <v>Yes</v>
      </c>
      <c r="BE296" s="11">
        <f t="shared" si="17"/>
        <v>0</v>
      </c>
      <c r="BF296" s="11">
        <f t="shared" si="18"/>
        <v>0</v>
      </c>
      <c r="BH296" s="21">
        <f>Table1[[#This Row],[StartTime]]+$BG$2</f>
        <v>4.1666666666666664E-2</v>
      </c>
    </row>
    <row r="297" spans="1:60" x14ac:dyDescent="0.25">
      <c r="A297" s="16"/>
      <c r="B297" s="2"/>
      <c r="D297" s="16"/>
      <c r="E297" s="16"/>
      <c r="G297" s="1"/>
      <c r="H297" s="1"/>
      <c r="I297" s="1"/>
      <c r="J297" s="1"/>
      <c r="K297" s="33"/>
      <c r="L297" s="22"/>
      <c r="M297" s="1"/>
      <c r="N297" s="1"/>
      <c r="O297" s="1"/>
      <c r="P297" s="1"/>
      <c r="Q297" s="1"/>
      <c r="R297" s="1"/>
      <c r="S297" s="1"/>
      <c r="BB297" s="9" t="str">
        <f t="shared" si="16"/>
        <v>Yes</v>
      </c>
      <c r="BC297" s="9" t="str">
        <f>IF(EFB!$N297=Table1[[#This Row],[ProgramTitle]],"Yes","No")</f>
        <v>Yes</v>
      </c>
      <c r="BD297" s="9" t="str">
        <f>IF(EFB!$S297=Table1[[#This Row],[SeriesEpisodeTitle]],"Yes","No")</f>
        <v>Yes</v>
      </c>
      <c r="BE297" s="11">
        <f t="shared" si="17"/>
        <v>0</v>
      </c>
      <c r="BF297" s="11">
        <f t="shared" si="18"/>
        <v>0</v>
      </c>
      <c r="BH297" s="21">
        <f>Table1[[#This Row],[StartTime]]+$BG$2</f>
        <v>4.1666666666666664E-2</v>
      </c>
    </row>
    <row r="298" spans="1:60" x14ac:dyDescent="0.25">
      <c r="A298" s="16"/>
      <c r="B298" s="2"/>
      <c r="D298" s="16"/>
      <c r="E298" s="16"/>
      <c r="G298" s="1"/>
      <c r="H298" s="1"/>
      <c r="I298" s="1"/>
      <c r="J298" s="1"/>
      <c r="K298" s="33"/>
      <c r="L298" s="22"/>
      <c r="M298" s="1"/>
      <c r="N298" s="1"/>
      <c r="O298" s="1"/>
      <c r="P298" s="1"/>
      <c r="Q298" s="1"/>
      <c r="R298" s="1"/>
      <c r="S298" s="1"/>
      <c r="BB298" s="9" t="str">
        <f t="shared" si="16"/>
        <v>Yes</v>
      </c>
      <c r="BC298" s="9" t="str">
        <f>IF(EFB!$N298=Table1[[#This Row],[ProgramTitle]],"Yes","No")</f>
        <v>Yes</v>
      </c>
      <c r="BD298" s="9" t="str">
        <f>IF(EFB!$S298=Table1[[#This Row],[SeriesEpisodeTitle]],"Yes","No")</f>
        <v>Yes</v>
      </c>
      <c r="BE298" s="11">
        <f t="shared" si="17"/>
        <v>0</v>
      </c>
      <c r="BF298" s="11">
        <f t="shared" si="18"/>
        <v>0</v>
      </c>
      <c r="BH298" s="21">
        <f>Table1[[#This Row],[StartTime]]+$BG$2</f>
        <v>4.1666666666666664E-2</v>
      </c>
    </row>
    <row r="299" spans="1:60" x14ac:dyDescent="0.25">
      <c r="A299" s="16"/>
      <c r="B299" s="2"/>
      <c r="D299" s="16"/>
      <c r="E299" s="16"/>
      <c r="G299" s="1"/>
      <c r="H299" s="1"/>
      <c r="I299" s="1"/>
      <c r="J299" s="1"/>
      <c r="K299" s="33"/>
      <c r="L299" s="22"/>
      <c r="M299" s="1"/>
      <c r="N299" s="1"/>
      <c r="O299" s="1"/>
      <c r="P299" s="1"/>
      <c r="Q299" s="1"/>
      <c r="R299" s="1"/>
      <c r="S299" s="1"/>
      <c r="BB299" s="9" t="str">
        <f t="shared" si="16"/>
        <v>Yes</v>
      </c>
      <c r="BC299" s="9" t="str">
        <f>IF(EFB!$N299=Table1[[#This Row],[ProgramTitle]],"Yes","No")</f>
        <v>Yes</v>
      </c>
      <c r="BD299" s="9" t="str">
        <f>IF(EFB!$S299=Table1[[#This Row],[SeriesEpisodeTitle]],"Yes","No")</f>
        <v>Yes</v>
      </c>
      <c r="BE299" s="11">
        <f t="shared" si="17"/>
        <v>0</v>
      </c>
      <c r="BF299" s="11">
        <f t="shared" si="18"/>
        <v>0</v>
      </c>
      <c r="BH299" s="21">
        <f>Table1[[#This Row],[StartTime]]+$BG$2</f>
        <v>4.1666666666666664E-2</v>
      </c>
    </row>
    <row r="300" spans="1:60" x14ac:dyDescent="0.25">
      <c r="A300" s="16"/>
      <c r="B300" s="2"/>
      <c r="D300" s="16"/>
      <c r="E300" s="16"/>
      <c r="G300" s="1"/>
      <c r="H300" s="1"/>
      <c r="I300" s="1"/>
      <c r="J300" s="1"/>
      <c r="K300" s="33"/>
      <c r="L300" s="22"/>
      <c r="M300" s="1"/>
      <c r="N300" s="1"/>
      <c r="O300" s="1"/>
      <c r="P300" s="1"/>
      <c r="Q300" s="1"/>
      <c r="R300" s="1"/>
      <c r="S300" s="1"/>
      <c r="BB300" s="9" t="str">
        <f t="shared" si="16"/>
        <v>Yes</v>
      </c>
      <c r="BC300" s="9" t="str">
        <f>IF(EFB!$N300=Table1[[#This Row],[ProgramTitle]],"Yes","No")</f>
        <v>Yes</v>
      </c>
      <c r="BD300" s="9" t="str">
        <f>IF(EFB!$S300=Table1[[#This Row],[SeriesEpisodeTitle]],"Yes","No")</f>
        <v>Yes</v>
      </c>
      <c r="BE300" s="11">
        <f t="shared" si="17"/>
        <v>0</v>
      </c>
      <c r="BF300" s="11">
        <f t="shared" si="18"/>
        <v>0</v>
      </c>
      <c r="BH300" s="21">
        <f>Table1[[#This Row],[StartTime]]+$BG$2</f>
        <v>4.1666666666666664E-2</v>
      </c>
    </row>
    <row r="301" spans="1:60" x14ac:dyDescent="0.25">
      <c r="A301" s="16"/>
      <c r="B301" s="2"/>
      <c r="D301" s="16"/>
      <c r="E301" s="16"/>
      <c r="G301" s="1"/>
      <c r="H301" s="1"/>
      <c r="I301" s="1"/>
      <c r="J301" s="1"/>
      <c r="K301" s="33"/>
      <c r="L301" s="22"/>
      <c r="M301" s="1"/>
      <c r="N301" s="1"/>
      <c r="O301" s="1"/>
      <c r="P301" s="1"/>
      <c r="Q301" s="1"/>
      <c r="R301" s="1"/>
      <c r="S301" s="1"/>
      <c r="BB301" s="9" t="str">
        <f t="shared" si="16"/>
        <v>Yes</v>
      </c>
      <c r="BC301" s="9" t="str">
        <f>IF(EFB!$N301=Table1[[#This Row],[ProgramTitle]],"Yes","No")</f>
        <v>Yes</v>
      </c>
      <c r="BD301" s="9" t="str">
        <f>IF(EFB!$S301=Table1[[#This Row],[SeriesEpisodeTitle]],"Yes","No")</f>
        <v>Yes</v>
      </c>
      <c r="BE301" s="11">
        <f t="shared" si="17"/>
        <v>0</v>
      </c>
      <c r="BF301" s="11">
        <f t="shared" si="18"/>
        <v>0</v>
      </c>
      <c r="BH301" s="21">
        <f>Table1[[#This Row],[StartTime]]+$BG$2</f>
        <v>4.1666666666666664E-2</v>
      </c>
    </row>
    <row r="302" spans="1:60" x14ac:dyDescent="0.25">
      <c r="A302" s="16"/>
      <c r="B302" s="2"/>
      <c r="D302" s="16"/>
      <c r="E302" s="16"/>
      <c r="G302" s="1"/>
      <c r="H302" s="1"/>
      <c r="I302" s="1"/>
      <c r="J302" s="1"/>
      <c r="K302" s="33"/>
      <c r="L302" s="22"/>
      <c r="M302" s="1"/>
      <c r="N302" s="1"/>
      <c r="O302" s="1"/>
      <c r="P302" s="1"/>
      <c r="Q302" s="1"/>
      <c r="R302" s="1"/>
      <c r="S302" s="1"/>
      <c r="BB302" s="9" t="str">
        <f t="shared" si="16"/>
        <v>Yes</v>
      </c>
      <c r="BC302" s="9" t="str">
        <f>IF(EFB!$N302=Table1[[#This Row],[ProgramTitle]],"Yes","No")</f>
        <v>Yes</v>
      </c>
      <c r="BD302" s="9" t="str">
        <f>IF(EFB!$S302=Table1[[#This Row],[SeriesEpisodeTitle]],"Yes","No")</f>
        <v>Yes</v>
      </c>
      <c r="BE302" s="11">
        <f t="shared" si="17"/>
        <v>0</v>
      </c>
      <c r="BF302" s="11">
        <f t="shared" si="18"/>
        <v>0</v>
      </c>
      <c r="BH302" s="21">
        <f>Table1[[#This Row],[StartTime]]+$BG$2</f>
        <v>4.1666666666666664E-2</v>
      </c>
    </row>
    <row r="303" spans="1:60" x14ac:dyDescent="0.25">
      <c r="A303" s="16"/>
      <c r="B303" s="2"/>
      <c r="D303" s="16"/>
      <c r="E303" s="16"/>
      <c r="G303" s="1"/>
      <c r="H303" s="1"/>
      <c r="I303" s="1"/>
      <c r="J303" s="1"/>
      <c r="K303" s="33"/>
      <c r="L303" s="22"/>
      <c r="M303" s="1"/>
      <c r="N303" s="1"/>
      <c r="O303" s="1"/>
      <c r="P303" s="1"/>
      <c r="Q303" s="1"/>
      <c r="R303" s="1"/>
      <c r="S303" s="1"/>
      <c r="BB303" s="9" t="str">
        <f t="shared" ref="BB303:BB366" si="19">IF(BE303=BF303,"Yes","No")</f>
        <v>Yes</v>
      </c>
      <c r="BC303" s="9" t="str">
        <f>IF(EFB!$N303=Table1[[#This Row],[ProgramTitle]],"Yes","No")</f>
        <v>Yes</v>
      </c>
      <c r="BD303" s="9" t="str">
        <f>IF(EFB!$S303=Table1[[#This Row],[SeriesEpisodeTitle]],"Yes","No")</f>
        <v>Yes</v>
      </c>
      <c r="BE303" s="11">
        <f t="shared" ref="BE303:BE366" si="20">TIME(HOUR(C303),MINUTE(C303),SECOND(0))</f>
        <v>0</v>
      </c>
      <c r="BF303" s="11">
        <f t="shared" ref="BF303:BF366" si="21">TIME(HOUR(L303),MINUTE(L303),SECOND(0))</f>
        <v>0</v>
      </c>
      <c r="BH303" s="21">
        <f>Table1[[#This Row],[StartTime]]+$BG$2</f>
        <v>4.1666666666666664E-2</v>
      </c>
    </row>
    <row r="304" spans="1:60" x14ac:dyDescent="0.25">
      <c r="A304" s="16"/>
      <c r="B304" s="2"/>
      <c r="D304" s="16"/>
      <c r="E304" s="16"/>
      <c r="G304" s="1"/>
      <c r="H304" s="1"/>
      <c r="I304" s="1"/>
      <c r="J304" s="1"/>
      <c r="K304" s="33"/>
      <c r="L304" s="22"/>
      <c r="M304" s="1"/>
      <c r="N304" s="1"/>
      <c r="O304" s="1"/>
      <c r="P304" s="1"/>
      <c r="Q304" s="1"/>
      <c r="R304" s="1"/>
      <c r="S304" s="1"/>
      <c r="BB304" s="9" t="str">
        <f t="shared" si="19"/>
        <v>Yes</v>
      </c>
      <c r="BC304" s="9" t="str">
        <f>IF(EFB!$N304=Table1[[#This Row],[ProgramTitle]],"Yes","No")</f>
        <v>Yes</v>
      </c>
      <c r="BD304" s="9" t="str">
        <f>IF(EFB!$S304=Table1[[#This Row],[SeriesEpisodeTitle]],"Yes","No")</f>
        <v>Yes</v>
      </c>
      <c r="BE304" s="11">
        <f t="shared" si="20"/>
        <v>0</v>
      </c>
      <c r="BF304" s="11">
        <f t="shared" si="21"/>
        <v>0</v>
      </c>
      <c r="BH304" s="21">
        <f>Table1[[#This Row],[StartTime]]+$BG$2</f>
        <v>4.1666666666666664E-2</v>
      </c>
    </row>
    <row r="305" spans="1:60" x14ac:dyDescent="0.25">
      <c r="A305" s="16"/>
      <c r="B305" s="2"/>
      <c r="D305" s="16"/>
      <c r="E305" s="16"/>
      <c r="G305" s="1"/>
      <c r="H305" s="1"/>
      <c r="I305" s="1"/>
      <c r="J305" s="1"/>
      <c r="K305" s="33"/>
      <c r="L305" s="22"/>
      <c r="M305" s="1"/>
      <c r="N305" s="1"/>
      <c r="O305" s="1"/>
      <c r="P305" s="1"/>
      <c r="Q305" s="1"/>
      <c r="R305" s="1"/>
      <c r="S305" s="1"/>
      <c r="BB305" s="9" t="str">
        <f t="shared" si="19"/>
        <v>Yes</v>
      </c>
      <c r="BC305" s="9" t="str">
        <f>IF(EFB!$N305=Table1[[#This Row],[ProgramTitle]],"Yes","No")</f>
        <v>Yes</v>
      </c>
      <c r="BD305" s="9" t="str">
        <f>IF(EFB!$S305=Table1[[#This Row],[SeriesEpisodeTitle]],"Yes","No")</f>
        <v>Yes</v>
      </c>
      <c r="BE305" s="11">
        <f t="shared" si="20"/>
        <v>0</v>
      </c>
      <c r="BF305" s="11">
        <f t="shared" si="21"/>
        <v>0</v>
      </c>
      <c r="BH305" s="21">
        <f>Table1[[#This Row],[StartTime]]+$BG$2</f>
        <v>4.1666666666666664E-2</v>
      </c>
    </row>
    <row r="306" spans="1:60" x14ac:dyDescent="0.25">
      <c r="A306" s="16"/>
      <c r="B306" s="2"/>
      <c r="D306" s="16"/>
      <c r="E306" s="16"/>
      <c r="G306" s="1"/>
      <c r="H306" s="1"/>
      <c r="I306" s="1"/>
      <c r="J306" s="1"/>
      <c r="K306" s="33"/>
      <c r="L306" s="22"/>
      <c r="M306" s="1"/>
      <c r="N306" s="1"/>
      <c r="O306" s="1"/>
      <c r="P306" s="1"/>
      <c r="Q306" s="1"/>
      <c r="R306" s="1"/>
      <c r="S306" s="1"/>
      <c r="BB306" s="9" t="str">
        <f t="shared" si="19"/>
        <v>Yes</v>
      </c>
      <c r="BC306" s="9" t="str">
        <f>IF(EFB!$N306=Table1[[#This Row],[ProgramTitle]],"Yes","No")</f>
        <v>Yes</v>
      </c>
      <c r="BD306" s="9" t="str">
        <f>IF(EFB!$S306=Table1[[#This Row],[SeriesEpisodeTitle]],"Yes","No")</f>
        <v>Yes</v>
      </c>
      <c r="BE306" s="11">
        <f t="shared" si="20"/>
        <v>0</v>
      </c>
      <c r="BF306" s="11">
        <f t="shared" si="21"/>
        <v>0</v>
      </c>
      <c r="BH306" s="21">
        <f>Table1[[#This Row],[StartTime]]+$BG$2</f>
        <v>4.1666666666666664E-2</v>
      </c>
    </row>
    <row r="307" spans="1:60" x14ac:dyDescent="0.25">
      <c r="A307" s="16"/>
      <c r="B307" s="2"/>
      <c r="D307" s="16"/>
      <c r="E307" s="16"/>
      <c r="G307" s="1"/>
      <c r="H307" s="1"/>
      <c r="I307" s="1"/>
      <c r="J307" s="1"/>
      <c r="K307" s="33"/>
      <c r="L307" s="22"/>
      <c r="M307" s="1"/>
      <c r="N307" s="1"/>
      <c r="O307" s="1"/>
      <c r="P307" s="1"/>
      <c r="Q307" s="1"/>
      <c r="R307" s="1"/>
      <c r="S307" s="1"/>
      <c r="BB307" s="9" t="str">
        <f t="shared" si="19"/>
        <v>Yes</v>
      </c>
      <c r="BC307" s="9" t="str">
        <f>IF(EFB!$N307=Table1[[#This Row],[ProgramTitle]],"Yes","No")</f>
        <v>Yes</v>
      </c>
      <c r="BD307" s="9" t="str">
        <f>IF(EFB!$S307=Table1[[#This Row],[SeriesEpisodeTitle]],"Yes","No")</f>
        <v>Yes</v>
      </c>
      <c r="BE307" s="11">
        <f t="shared" si="20"/>
        <v>0</v>
      </c>
      <c r="BF307" s="11">
        <f t="shared" si="21"/>
        <v>0</v>
      </c>
      <c r="BH307" s="21">
        <f>Table1[[#This Row],[StartTime]]+$BG$2</f>
        <v>4.1666666666666664E-2</v>
      </c>
    </row>
    <row r="308" spans="1:60" x14ac:dyDescent="0.25">
      <c r="A308" s="16"/>
      <c r="B308" s="2"/>
      <c r="D308" s="16"/>
      <c r="E308" s="16"/>
      <c r="G308" s="1"/>
      <c r="H308" s="1"/>
      <c r="I308" s="1"/>
      <c r="J308" s="1"/>
      <c r="K308" s="33"/>
      <c r="L308" s="22"/>
      <c r="M308" s="1"/>
      <c r="N308" s="1"/>
      <c r="O308" s="1"/>
      <c r="P308" s="1"/>
      <c r="Q308" s="1"/>
      <c r="R308" s="1"/>
      <c r="S308" s="1"/>
      <c r="BB308" s="9" t="str">
        <f t="shared" si="19"/>
        <v>Yes</v>
      </c>
      <c r="BC308" s="9" t="str">
        <f>IF(EFB!$N308=Table1[[#This Row],[ProgramTitle]],"Yes","No")</f>
        <v>Yes</v>
      </c>
      <c r="BD308" s="9" t="str">
        <f>IF(EFB!$S308=Table1[[#This Row],[SeriesEpisodeTitle]],"Yes","No")</f>
        <v>Yes</v>
      </c>
      <c r="BE308" s="11">
        <f t="shared" si="20"/>
        <v>0</v>
      </c>
      <c r="BF308" s="11">
        <f t="shared" si="21"/>
        <v>0</v>
      </c>
      <c r="BH308" s="21">
        <f>Table1[[#This Row],[StartTime]]+$BG$2</f>
        <v>4.1666666666666664E-2</v>
      </c>
    </row>
    <row r="309" spans="1:60" x14ac:dyDescent="0.25">
      <c r="A309" s="16"/>
      <c r="B309" s="2"/>
      <c r="D309" s="16"/>
      <c r="E309" s="16"/>
      <c r="G309" s="1"/>
      <c r="H309" s="1"/>
      <c r="I309" s="1"/>
      <c r="J309" s="1"/>
      <c r="K309" s="33"/>
      <c r="L309" s="22"/>
      <c r="M309" s="1"/>
      <c r="N309" s="1"/>
      <c r="O309" s="1"/>
      <c r="P309" s="1"/>
      <c r="Q309" s="1"/>
      <c r="R309" s="1"/>
      <c r="S309" s="1"/>
      <c r="BB309" s="9" t="str">
        <f t="shared" si="19"/>
        <v>Yes</v>
      </c>
      <c r="BC309" s="9" t="str">
        <f>IF(EFB!$N309=Table1[[#This Row],[ProgramTitle]],"Yes","No")</f>
        <v>Yes</v>
      </c>
      <c r="BD309" s="9" t="str">
        <f>IF(EFB!$S309=Table1[[#This Row],[SeriesEpisodeTitle]],"Yes","No")</f>
        <v>Yes</v>
      </c>
      <c r="BE309" s="11">
        <f t="shared" si="20"/>
        <v>0</v>
      </c>
      <c r="BF309" s="11">
        <f t="shared" si="21"/>
        <v>0</v>
      </c>
      <c r="BH309" s="21">
        <f>Table1[[#This Row],[StartTime]]+$BG$2</f>
        <v>4.1666666666666664E-2</v>
      </c>
    </row>
    <row r="310" spans="1:60" x14ac:dyDescent="0.25">
      <c r="A310" s="16"/>
      <c r="B310" s="2"/>
      <c r="D310" s="16"/>
      <c r="E310" s="16"/>
      <c r="G310" s="1"/>
      <c r="H310" s="1"/>
      <c r="I310" s="1"/>
      <c r="J310" s="1"/>
      <c r="K310" s="33"/>
      <c r="L310" s="22"/>
      <c r="M310" s="1"/>
      <c r="N310" s="1"/>
      <c r="O310" s="1"/>
      <c r="P310" s="1"/>
      <c r="Q310" s="1"/>
      <c r="R310" s="1"/>
      <c r="S310" s="1"/>
      <c r="BB310" s="9" t="str">
        <f t="shared" si="19"/>
        <v>Yes</v>
      </c>
      <c r="BC310" s="9" t="str">
        <f>IF(EFB!$N310=Table1[[#This Row],[ProgramTitle]],"Yes","No")</f>
        <v>Yes</v>
      </c>
      <c r="BD310" s="9" t="str">
        <f>IF(EFB!$S310=Table1[[#This Row],[SeriesEpisodeTitle]],"Yes","No")</f>
        <v>Yes</v>
      </c>
      <c r="BE310" s="11">
        <f t="shared" si="20"/>
        <v>0</v>
      </c>
      <c r="BF310" s="11">
        <f t="shared" si="21"/>
        <v>0</v>
      </c>
      <c r="BH310" s="21">
        <f>Table1[[#This Row],[StartTime]]+$BG$2</f>
        <v>4.1666666666666664E-2</v>
      </c>
    </row>
    <row r="311" spans="1:60" x14ac:dyDescent="0.25">
      <c r="A311" s="16"/>
      <c r="B311" s="2"/>
      <c r="D311" s="16"/>
      <c r="E311" s="16"/>
      <c r="G311" s="1"/>
      <c r="H311" s="1"/>
      <c r="I311" s="1"/>
      <c r="J311" s="1"/>
      <c r="K311" s="33"/>
      <c r="L311" s="22"/>
      <c r="M311" s="1"/>
      <c r="N311" s="1"/>
      <c r="O311" s="1"/>
      <c r="P311" s="1"/>
      <c r="Q311" s="1"/>
      <c r="R311" s="1"/>
      <c r="S311" s="1"/>
      <c r="BB311" s="9" t="str">
        <f t="shared" si="19"/>
        <v>Yes</v>
      </c>
      <c r="BC311" s="9" t="str">
        <f>IF(EFB!$N311=Table1[[#This Row],[ProgramTitle]],"Yes","No")</f>
        <v>Yes</v>
      </c>
      <c r="BD311" s="9" t="str">
        <f>IF(EFB!$S311=Table1[[#This Row],[SeriesEpisodeTitle]],"Yes","No")</f>
        <v>Yes</v>
      </c>
      <c r="BE311" s="11">
        <f t="shared" si="20"/>
        <v>0</v>
      </c>
      <c r="BF311" s="11">
        <f t="shared" si="21"/>
        <v>0</v>
      </c>
      <c r="BH311" s="21">
        <f>Table1[[#This Row],[StartTime]]+$BG$2</f>
        <v>4.1666666666666664E-2</v>
      </c>
    </row>
    <row r="312" spans="1:60" x14ac:dyDescent="0.25">
      <c r="A312" s="16"/>
      <c r="B312" s="2"/>
      <c r="D312" s="16"/>
      <c r="E312" s="16"/>
      <c r="G312" s="1"/>
      <c r="H312" s="1"/>
      <c r="I312" s="1"/>
      <c r="J312" s="1"/>
      <c r="K312" s="33"/>
      <c r="L312" s="22"/>
      <c r="M312" s="1"/>
      <c r="N312" s="1"/>
      <c r="O312" s="1"/>
      <c r="P312" s="1"/>
      <c r="Q312" s="1"/>
      <c r="R312" s="1"/>
      <c r="S312" s="1"/>
      <c r="BB312" s="9" t="str">
        <f t="shared" si="19"/>
        <v>Yes</v>
      </c>
      <c r="BC312" s="9" t="str">
        <f>IF(EFB!$N312=Table1[[#This Row],[ProgramTitle]],"Yes","No")</f>
        <v>Yes</v>
      </c>
      <c r="BD312" s="9" t="str">
        <f>IF(EFB!$S312=Table1[[#This Row],[SeriesEpisodeTitle]],"Yes","No")</f>
        <v>Yes</v>
      </c>
      <c r="BE312" s="11">
        <f t="shared" si="20"/>
        <v>0</v>
      </c>
      <c r="BF312" s="11">
        <f t="shared" si="21"/>
        <v>0</v>
      </c>
      <c r="BH312" s="21">
        <f>Table1[[#This Row],[StartTime]]+$BG$2</f>
        <v>4.1666666666666664E-2</v>
      </c>
    </row>
    <row r="313" spans="1:60" x14ac:dyDescent="0.25">
      <c r="A313" s="16"/>
      <c r="B313" s="2"/>
      <c r="D313" s="16"/>
      <c r="E313" s="16"/>
      <c r="G313" s="1"/>
      <c r="H313" s="1"/>
      <c r="I313" s="1"/>
      <c r="J313" s="1"/>
      <c r="K313" s="33"/>
      <c r="L313" s="22"/>
      <c r="M313" s="1"/>
      <c r="N313" s="1"/>
      <c r="O313" s="1"/>
      <c r="P313" s="1"/>
      <c r="Q313" s="1"/>
      <c r="R313" s="1"/>
      <c r="S313" s="1"/>
      <c r="BB313" s="9" t="str">
        <f t="shared" si="19"/>
        <v>Yes</v>
      </c>
      <c r="BC313" s="9" t="str">
        <f>IF(EFB!$N313=Table1[[#This Row],[ProgramTitle]],"Yes","No")</f>
        <v>Yes</v>
      </c>
      <c r="BD313" s="9" t="str">
        <f>IF(EFB!$S313=Table1[[#This Row],[SeriesEpisodeTitle]],"Yes","No")</f>
        <v>Yes</v>
      </c>
      <c r="BE313" s="11">
        <f t="shared" si="20"/>
        <v>0</v>
      </c>
      <c r="BF313" s="11">
        <f t="shared" si="21"/>
        <v>0</v>
      </c>
      <c r="BH313" s="21">
        <f>Table1[[#This Row],[StartTime]]+$BG$2</f>
        <v>4.1666666666666664E-2</v>
      </c>
    </row>
    <row r="314" spans="1:60" x14ac:dyDescent="0.25">
      <c r="A314" s="16"/>
      <c r="B314" s="2"/>
      <c r="D314" s="16"/>
      <c r="E314" s="16"/>
      <c r="G314" s="1"/>
      <c r="H314" s="1"/>
      <c r="I314" s="1"/>
      <c r="J314" s="1"/>
      <c r="K314" s="33"/>
      <c r="L314" s="22"/>
      <c r="M314" s="1"/>
      <c r="N314" s="1"/>
      <c r="O314" s="1"/>
      <c r="P314" s="1"/>
      <c r="Q314" s="1"/>
      <c r="R314" s="1"/>
      <c r="S314" s="1"/>
      <c r="BB314" s="9" t="str">
        <f t="shared" si="19"/>
        <v>Yes</v>
      </c>
      <c r="BC314" s="9" t="str">
        <f>IF(EFB!$N314=Table1[[#This Row],[ProgramTitle]],"Yes","No")</f>
        <v>Yes</v>
      </c>
      <c r="BD314" s="9" t="str">
        <f>IF(EFB!$S314=Table1[[#This Row],[SeriesEpisodeTitle]],"Yes","No")</f>
        <v>Yes</v>
      </c>
      <c r="BE314" s="11">
        <f t="shared" si="20"/>
        <v>0</v>
      </c>
      <c r="BF314" s="11">
        <f t="shared" si="21"/>
        <v>0</v>
      </c>
      <c r="BH314" s="21">
        <f>Table1[[#This Row],[StartTime]]+$BG$2</f>
        <v>4.1666666666666664E-2</v>
      </c>
    </row>
    <row r="315" spans="1:60" x14ac:dyDescent="0.25">
      <c r="A315" s="23"/>
      <c r="B315" s="23"/>
      <c r="C315" s="23"/>
      <c r="D315" s="23"/>
      <c r="E315" s="23"/>
      <c r="G315" s="1"/>
      <c r="H315" s="1"/>
      <c r="I315" s="1"/>
      <c r="J315" s="1"/>
      <c r="K315" s="33"/>
      <c r="L315" s="22"/>
      <c r="M315" s="1"/>
      <c r="N315" s="1"/>
      <c r="O315" s="1"/>
      <c r="P315" s="1"/>
      <c r="Q315" s="1"/>
      <c r="R315" s="1"/>
      <c r="S315" s="1"/>
      <c r="BB315" s="9" t="str">
        <f t="shared" si="19"/>
        <v>Yes</v>
      </c>
      <c r="BC315" s="9" t="e">
        <f>IF(EFB!$N315=Table1[[#This Row],[ProgramTitle]],"Yes","No")</f>
        <v>#VALUE!</v>
      </c>
      <c r="BD315" s="9" t="e">
        <f>IF(EFB!$S315=Table1[[#This Row],[SeriesEpisodeTitle]],"Yes","No")</f>
        <v>#VALUE!</v>
      </c>
      <c r="BE315" s="11">
        <f t="shared" si="20"/>
        <v>0</v>
      </c>
      <c r="BF315" s="11">
        <f t="shared" si="21"/>
        <v>0</v>
      </c>
      <c r="BH315" s="21" t="e">
        <f>Table1[[#This Row],[StartTime]]+$BG$2</f>
        <v>#VALUE!</v>
      </c>
    </row>
    <row r="316" spans="1:60" x14ac:dyDescent="0.25">
      <c r="A316" s="23"/>
      <c r="B316" s="23"/>
      <c r="C316" s="23"/>
      <c r="D316" s="23"/>
      <c r="E316" s="23"/>
      <c r="G316" s="1"/>
      <c r="H316" s="1"/>
      <c r="I316" s="1"/>
      <c r="J316" s="1"/>
      <c r="K316" s="33"/>
      <c r="L316" s="22"/>
      <c r="M316" s="1"/>
      <c r="N316" s="1"/>
      <c r="O316" s="1"/>
      <c r="P316" s="1"/>
      <c r="Q316" s="1"/>
      <c r="R316" s="1"/>
      <c r="S316" s="1"/>
      <c r="BB316" s="9" t="str">
        <f t="shared" si="19"/>
        <v>Yes</v>
      </c>
      <c r="BC316" s="9" t="e">
        <f>IF(EFB!$N316=Table1[[#This Row],[ProgramTitle]],"Yes","No")</f>
        <v>#VALUE!</v>
      </c>
      <c r="BD316" s="9" t="e">
        <f>IF(EFB!$S316=Table1[[#This Row],[SeriesEpisodeTitle]],"Yes","No")</f>
        <v>#VALUE!</v>
      </c>
      <c r="BE316" s="11">
        <f t="shared" si="20"/>
        <v>0</v>
      </c>
      <c r="BF316" s="11">
        <f t="shared" si="21"/>
        <v>0</v>
      </c>
      <c r="BH316" s="21" t="e">
        <f>Table1[[#This Row],[StartTime]]+$BG$2</f>
        <v>#VALUE!</v>
      </c>
    </row>
    <row r="317" spans="1:60" x14ac:dyDescent="0.25">
      <c r="A317" s="23"/>
      <c r="B317" s="23"/>
      <c r="C317" s="23"/>
      <c r="D317" s="23"/>
      <c r="E317" s="23"/>
      <c r="G317" s="1"/>
      <c r="H317" s="1"/>
      <c r="I317" s="1"/>
      <c r="J317" s="1"/>
      <c r="K317" s="33"/>
      <c r="L317" s="22"/>
      <c r="M317" s="1"/>
      <c r="N317" s="1"/>
      <c r="O317" s="1"/>
      <c r="P317" s="1"/>
      <c r="Q317" s="1"/>
      <c r="R317" s="1"/>
      <c r="S317" s="1"/>
      <c r="BB317" s="9" t="str">
        <f t="shared" si="19"/>
        <v>Yes</v>
      </c>
      <c r="BC317" s="9" t="e">
        <f>IF(EFB!$N317=Table1[[#This Row],[ProgramTitle]],"Yes","No")</f>
        <v>#VALUE!</v>
      </c>
      <c r="BD317" s="9" t="e">
        <f>IF(EFB!$S317=Table1[[#This Row],[SeriesEpisodeTitle]],"Yes","No")</f>
        <v>#VALUE!</v>
      </c>
      <c r="BE317" s="11">
        <f t="shared" si="20"/>
        <v>0</v>
      </c>
      <c r="BF317" s="11">
        <f t="shared" si="21"/>
        <v>0</v>
      </c>
      <c r="BH317" s="21" t="e">
        <f>Table1[[#This Row],[StartTime]]+$BG$2</f>
        <v>#VALUE!</v>
      </c>
    </row>
    <row r="318" spans="1:60" x14ac:dyDescent="0.25">
      <c r="A318" s="23"/>
      <c r="B318" s="23"/>
      <c r="C318" s="23"/>
      <c r="D318" s="23"/>
      <c r="E318" s="23"/>
      <c r="G318" s="1"/>
      <c r="H318" s="1"/>
      <c r="I318" s="1"/>
      <c r="J318" s="1"/>
      <c r="K318" s="33"/>
      <c r="L318" s="22"/>
      <c r="M318" s="1"/>
      <c r="N318" s="1"/>
      <c r="O318" s="1"/>
      <c r="P318" s="1"/>
      <c r="Q318" s="1"/>
      <c r="R318" s="1"/>
      <c r="S318" s="1"/>
      <c r="BB318" s="9" t="str">
        <f t="shared" si="19"/>
        <v>Yes</v>
      </c>
      <c r="BC318" s="9" t="e">
        <f>IF(EFB!$N318=Table1[[#This Row],[ProgramTitle]],"Yes","No")</f>
        <v>#VALUE!</v>
      </c>
      <c r="BD318" s="9" t="e">
        <f>IF(EFB!$S318=Table1[[#This Row],[SeriesEpisodeTitle]],"Yes","No")</f>
        <v>#VALUE!</v>
      </c>
      <c r="BE318" s="11">
        <f t="shared" si="20"/>
        <v>0</v>
      </c>
      <c r="BF318" s="11">
        <f t="shared" si="21"/>
        <v>0</v>
      </c>
      <c r="BH318" s="21" t="e">
        <f>Table1[[#This Row],[StartTime]]+$BG$2</f>
        <v>#VALUE!</v>
      </c>
    </row>
    <row r="319" spans="1:60" x14ac:dyDescent="0.25">
      <c r="A319" s="23"/>
      <c r="B319" s="23"/>
      <c r="C319" s="23"/>
      <c r="D319" s="23"/>
      <c r="E319" s="23"/>
      <c r="G319" s="1"/>
      <c r="H319" s="1"/>
      <c r="I319" s="1"/>
      <c r="J319" s="1"/>
      <c r="K319" s="33"/>
      <c r="L319" s="22"/>
      <c r="M319" s="1"/>
      <c r="N319" s="1"/>
      <c r="O319" s="1"/>
      <c r="P319" s="1"/>
      <c r="Q319" s="1"/>
      <c r="R319" s="1"/>
      <c r="S319" s="1"/>
      <c r="BB319" s="9" t="str">
        <f t="shared" si="19"/>
        <v>Yes</v>
      </c>
      <c r="BC319" s="9" t="e">
        <f>IF(EFB!$N319=Table1[[#This Row],[ProgramTitle]],"Yes","No")</f>
        <v>#VALUE!</v>
      </c>
      <c r="BD319" s="9" t="e">
        <f>IF(EFB!$S319=Table1[[#This Row],[SeriesEpisodeTitle]],"Yes","No")</f>
        <v>#VALUE!</v>
      </c>
      <c r="BE319" s="11">
        <f t="shared" si="20"/>
        <v>0</v>
      </c>
      <c r="BF319" s="11">
        <f t="shared" si="21"/>
        <v>0</v>
      </c>
      <c r="BH319" s="21" t="e">
        <f>Table1[[#This Row],[StartTime]]+$BG$2</f>
        <v>#VALUE!</v>
      </c>
    </row>
    <row r="320" spans="1:60" x14ac:dyDescent="0.25">
      <c r="A320" s="23"/>
      <c r="B320" s="23"/>
      <c r="C320" s="23"/>
      <c r="D320" s="23"/>
      <c r="E320" s="23"/>
      <c r="G320" s="1"/>
      <c r="H320" s="1"/>
      <c r="I320" s="1"/>
      <c r="J320" s="1"/>
      <c r="K320" s="33"/>
      <c r="L320" s="22"/>
      <c r="M320" s="1"/>
      <c r="N320" s="1"/>
      <c r="O320" s="1"/>
      <c r="P320" s="1"/>
      <c r="Q320" s="1"/>
      <c r="R320" s="1"/>
      <c r="S320" s="1"/>
      <c r="BB320" s="9" t="str">
        <f t="shared" si="19"/>
        <v>Yes</v>
      </c>
      <c r="BC320" s="9" t="e">
        <f>IF(EFB!$N320=Table1[[#This Row],[ProgramTitle]],"Yes","No")</f>
        <v>#VALUE!</v>
      </c>
      <c r="BD320" s="9" t="e">
        <f>IF(EFB!$S320=Table1[[#This Row],[SeriesEpisodeTitle]],"Yes","No")</f>
        <v>#VALUE!</v>
      </c>
      <c r="BE320" s="11">
        <f t="shared" si="20"/>
        <v>0</v>
      </c>
      <c r="BF320" s="11">
        <f t="shared" si="21"/>
        <v>0</v>
      </c>
      <c r="BH320" s="21" t="e">
        <f>Table1[[#This Row],[StartTime]]+$BG$2</f>
        <v>#VALUE!</v>
      </c>
    </row>
    <row r="321" spans="1:60" x14ac:dyDescent="0.25">
      <c r="A321" s="23"/>
      <c r="B321" s="23"/>
      <c r="C321" s="23"/>
      <c r="D321" s="23"/>
      <c r="E321" s="23"/>
      <c r="G321" s="1"/>
      <c r="H321" s="1"/>
      <c r="I321" s="1"/>
      <c r="J321" s="1"/>
      <c r="K321" s="33"/>
      <c r="L321" s="22"/>
      <c r="M321" s="1"/>
      <c r="N321" s="1"/>
      <c r="O321" s="1"/>
      <c r="P321" s="1"/>
      <c r="Q321" s="1"/>
      <c r="R321" s="1"/>
      <c r="S321" s="1"/>
      <c r="BB321" s="9" t="str">
        <f t="shared" si="19"/>
        <v>Yes</v>
      </c>
      <c r="BC321" s="9" t="e">
        <f>IF(EFB!$N321=Table1[[#This Row],[ProgramTitle]],"Yes","No")</f>
        <v>#VALUE!</v>
      </c>
      <c r="BD321" s="9" t="e">
        <f>IF(EFB!$S321=Table1[[#This Row],[SeriesEpisodeTitle]],"Yes","No")</f>
        <v>#VALUE!</v>
      </c>
      <c r="BE321" s="11">
        <f t="shared" si="20"/>
        <v>0</v>
      </c>
      <c r="BF321" s="11">
        <f t="shared" si="21"/>
        <v>0</v>
      </c>
      <c r="BH321" s="21" t="e">
        <f>Table1[[#This Row],[StartTime]]+$BG$2</f>
        <v>#VALUE!</v>
      </c>
    </row>
    <row r="322" spans="1:60" x14ac:dyDescent="0.25">
      <c r="A322" s="23"/>
      <c r="B322" s="23"/>
      <c r="C322" s="23"/>
      <c r="D322" s="23"/>
      <c r="E322" s="23"/>
      <c r="G322" s="1"/>
      <c r="H322" s="1"/>
      <c r="I322" s="1"/>
      <c r="J322" s="1"/>
      <c r="K322" s="33"/>
      <c r="L322" s="22"/>
      <c r="M322" s="1"/>
      <c r="N322" s="1"/>
      <c r="O322" s="1"/>
      <c r="P322" s="1"/>
      <c r="Q322" s="1"/>
      <c r="R322" s="1"/>
      <c r="S322" s="1"/>
      <c r="BB322" s="9" t="str">
        <f t="shared" si="19"/>
        <v>Yes</v>
      </c>
      <c r="BC322" s="9" t="e">
        <f>IF(EFB!$N322=Table1[[#This Row],[ProgramTitle]],"Yes","No")</f>
        <v>#VALUE!</v>
      </c>
      <c r="BD322" s="9" t="e">
        <f>IF(EFB!$S322=Table1[[#This Row],[SeriesEpisodeTitle]],"Yes","No")</f>
        <v>#VALUE!</v>
      </c>
      <c r="BE322" s="11">
        <f t="shared" si="20"/>
        <v>0</v>
      </c>
      <c r="BF322" s="11">
        <f t="shared" si="21"/>
        <v>0</v>
      </c>
      <c r="BH322" s="21" t="e">
        <f>Table1[[#This Row],[StartTime]]+$BG$2</f>
        <v>#VALUE!</v>
      </c>
    </row>
    <row r="323" spans="1:60" x14ac:dyDescent="0.25">
      <c r="A323" s="23"/>
      <c r="B323" s="23"/>
      <c r="C323" s="23"/>
      <c r="D323" s="23"/>
      <c r="E323" s="23"/>
      <c r="G323" s="1"/>
      <c r="H323" s="1"/>
      <c r="I323" s="1"/>
      <c r="J323" s="1"/>
      <c r="K323" s="33"/>
      <c r="L323" s="22"/>
      <c r="M323" s="1"/>
      <c r="N323" s="1"/>
      <c r="O323" s="1"/>
      <c r="P323" s="1"/>
      <c r="Q323" s="1"/>
      <c r="R323" s="1"/>
      <c r="S323" s="1"/>
      <c r="BB323" s="9" t="str">
        <f t="shared" si="19"/>
        <v>Yes</v>
      </c>
      <c r="BC323" s="9" t="e">
        <f>IF(EFB!$N323=Table1[[#This Row],[ProgramTitle]],"Yes","No")</f>
        <v>#VALUE!</v>
      </c>
      <c r="BD323" s="9" t="e">
        <f>IF(EFB!$S323=Table1[[#This Row],[SeriesEpisodeTitle]],"Yes","No")</f>
        <v>#VALUE!</v>
      </c>
      <c r="BE323" s="11">
        <f t="shared" si="20"/>
        <v>0</v>
      </c>
      <c r="BF323" s="11">
        <f t="shared" si="21"/>
        <v>0</v>
      </c>
      <c r="BH323" s="21" t="e">
        <f>Table1[[#This Row],[StartTime]]+$BG$2</f>
        <v>#VALUE!</v>
      </c>
    </row>
    <row r="324" spans="1:60" x14ac:dyDescent="0.25">
      <c r="A324" s="23"/>
      <c r="B324" s="23"/>
      <c r="C324" s="23"/>
      <c r="D324" s="23"/>
      <c r="E324" s="23"/>
      <c r="G324" s="1"/>
      <c r="H324" s="1"/>
      <c r="I324" s="1"/>
      <c r="J324" s="1"/>
      <c r="K324" s="33"/>
      <c r="L324" s="22"/>
      <c r="M324" s="1"/>
      <c r="N324" s="1"/>
      <c r="O324" s="1"/>
      <c r="P324" s="1"/>
      <c r="Q324" s="1"/>
      <c r="R324" s="1"/>
      <c r="S324" s="1"/>
      <c r="BB324" s="9" t="str">
        <f t="shared" si="19"/>
        <v>Yes</v>
      </c>
      <c r="BC324" s="9" t="e">
        <f>IF(EFB!$N324=Table1[[#This Row],[ProgramTitle]],"Yes","No")</f>
        <v>#VALUE!</v>
      </c>
      <c r="BD324" s="9" t="e">
        <f>IF(EFB!$S324=Table1[[#This Row],[SeriesEpisodeTitle]],"Yes","No")</f>
        <v>#VALUE!</v>
      </c>
      <c r="BE324" s="11">
        <f t="shared" si="20"/>
        <v>0</v>
      </c>
      <c r="BF324" s="11">
        <f t="shared" si="21"/>
        <v>0</v>
      </c>
      <c r="BH324" s="21" t="e">
        <f>Table1[[#This Row],[StartTime]]+$BG$2</f>
        <v>#VALUE!</v>
      </c>
    </row>
    <row r="325" spans="1:60" x14ac:dyDescent="0.25">
      <c r="A325" s="23"/>
      <c r="B325" s="23"/>
      <c r="C325" s="23"/>
      <c r="D325" s="23"/>
      <c r="E325" s="23"/>
      <c r="G325" s="1"/>
      <c r="H325" s="1"/>
      <c r="I325" s="1"/>
      <c r="J325" s="1"/>
      <c r="K325" s="33"/>
      <c r="L325" s="22"/>
      <c r="M325" s="1"/>
      <c r="N325" s="1"/>
      <c r="O325" s="1"/>
      <c r="P325" s="1"/>
      <c r="Q325" s="1"/>
      <c r="R325" s="1"/>
      <c r="S325" s="1"/>
      <c r="BB325" s="9" t="str">
        <f t="shared" si="19"/>
        <v>Yes</v>
      </c>
      <c r="BC325" s="9" t="e">
        <f>IF(EFB!$N325=Table1[[#This Row],[ProgramTitle]],"Yes","No")</f>
        <v>#VALUE!</v>
      </c>
      <c r="BD325" s="9" t="e">
        <f>IF(EFB!$S325=Table1[[#This Row],[SeriesEpisodeTitle]],"Yes","No")</f>
        <v>#VALUE!</v>
      </c>
      <c r="BE325" s="11">
        <f t="shared" si="20"/>
        <v>0</v>
      </c>
      <c r="BF325" s="11">
        <f t="shared" si="21"/>
        <v>0</v>
      </c>
      <c r="BH325" s="21" t="e">
        <f>Table1[[#This Row],[StartTime]]+$BG$2</f>
        <v>#VALUE!</v>
      </c>
    </row>
    <row r="326" spans="1:60" x14ac:dyDescent="0.25">
      <c r="A326" s="23"/>
      <c r="B326" s="23"/>
      <c r="C326" s="23"/>
      <c r="D326" s="23"/>
      <c r="E326" s="23"/>
      <c r="G326" s="1"/>
      <c r="H326" s="1"/>
      <c r="I326" s="1"/>
      <c r="J326" s="1"/>
      <c r="K326" s="33"/>
      <c r="L326" s="22"/>
      <c r="M326" s="1"/>
      <c r="N326" s="1"/>
      <c r="O326" s="1"/>
      <c r="P326" s="1"/>
      <c r="Q326" s="1"/>
      <c r="R326" s="1"/>
      <c r="S326" s="1"/>
      <c r="BB326" s="9" t="str">
        <f t="shared" si="19"/>
        <v>Yes</v>
      </c>
      <c r="BC326" s="9" t="e">
        <f>IF(EFB!$N326=Table1[[#This Row],[ProgramTitle]],"Yes","No")</f>
        <v>#VALUE!</v>
      </c>
      <c r="BD326" s="9" t="e">
        <f>IF(EFB!$S326=Table1[[#This Row],[SeriesEpisodeTitle]],"Yes","No")</f>
        <v>#VALUE!</v>
      </c>
      <c r="BE326" s="11">
        <f t="shared" si="20"/>
        <v>0</v>
      </c>
      <c r="BF326" s="11">
        <f t="shared" si="21"/>
        <v>0</v>
      </c>
      <c r="BH326" s="21" t="e">
        <f>Table1[[#This Row],[StartTime]]+$BG$2</f>
        <v>#VALUE!</v>
      </c>
    </row>
    <row r="327" spans="1:60" x14ac:dyDescent="0.25">
      <c r="A327" s="23"/>
      <c r="B327" s="23"/>
      <c r="C327" s="23"/>
      <c r="D327" s="23"/>
      <c r="E327" s="23"/>
      <c r="G327" s="1"/>
      <c r="H327" s="1"/>
      <c r="I327" s="1"/>
      <c r="J327" s="1"/>
      <c r="K327" s="33"/>
      <c r="L327" s="22"/>
      <c r="M327" s="1"/>
      <c r="N327" s="1"/>
      <c r="O327" s="1"/>
      <c r="P327" s="1"/>
      <c r="Q327" s="1"/>
      <c r="R327" s="1"/>
      <c r="S327" s="1"/>
      <c r="BB327" s="9" t="str">
        <f t="shared" si="19"/>
        <v>Yes</v>
      </c>
      <c r="BC327" s="9" t="e">
        <f>IF(EFB!$N327=Table1[[#This Row],[ProgramTitle]],"Yes","No")</f>
        <v>#VALUE!</v>
      </c>
      <c r="BD327" s="9" t="e">
        <f>IF(EFB!$S327=Table1[[#This Row],[SeriesEpisodeTitle]],"Yes","No")</f>
        <v>#VALUE!</v>
      </c>
      <c r="BE327" s="11">
        <f t="shared" si="20"/>
        <v>0</v>
      </c>
      <c r="BF327" s="11">
        <f t="shared" si="21"/>
        <v>0</v>
      </c>
      <c r="BH327" s="21" t="e">
        <f>Table1[[#This Row],[StartTime]]+$BG$2</f>
        <v>#VALUE!</v>
      </c>
    </row>
    <row r="328" spans="1:60" x14ac:dyDescent="0.25">
      <c r="A328" s="23"/>
      <c r="B328" s="23"/>
      <c r="C328" s="23"/>
      <c r="D328" s="23"/>
      <c r="E328" s="23"/>
      <c r="G328" s="1"/>
      <c r="H328" s="1"/>
      <c r="I328" s="1"/>
      <c r="J328" s="1"/>
      <c r="K328" s="33"/>
      <c r="L328" s="22"/>
      <c r="M328" s="1"/>
      <c r="N328" s="1"/>
      <c r="O328" s="1"/>
      <c r="P328" s="1"/>
      <c r="Q328" s="1"/>
      <c r="R328" s="1"/>
      <c r="S328" s="1"/>
      <c r="BB328" s="9" t="str">
        <f t="shared" si="19"/>
        <v>Yes</v>
      </c>
      <c r="BC328" s="9" t="e">
        <f>IF(EFB!$N328=Table1[[#This Row],[ProgramTitle]],"Yes","No")</f>
        <v>#VALUE!</v>
      </c>
      <c r="BD328" s="9" t="e">
        <f>IF(EFB!$S328=Table1[[#This Row],[SeriesEpisodeTitle]],"Yes","No")</f>
        <v>#VALUE!</v>
      </c>
      <c r="BE328" s="11">
        <f t="shared" si="20"/>
        <v>0</v>
      </c>
      <c r="BF328" s="11">
        <f t="shared" si="21"/>
        <v>0</v>
      </c>
      <c r="BH328" s="21" t="e">
        <f>Table1[[#This Row],[StartTime]]+$BG$2</f>
        <v>#VALUE!</v>
      </c>
    </row>
    <row r="329" spans="1:60" x14ac:dyDescent="0.25">
      <c r="A329" s="23"/>
      <c r="B329" s="23"/>
      <c r="C329" s="23"/>
      <c r="D329" s="23"/>
      <c r="E329" s="23"/>
      <c r="G329" s="1"/>
      <c r="H329" s="1"/>
      <c r="I329" s="1"/>
      <c r="J329" s="1"/>
      <c r="K329" s="33"/>
      <c r="L329" s="22"/>
      <c r="M329" s="1"/>
      <c r="N329" s="1"/>
      <c r="O329" s="1"/>
      <c r="P329" s="1"/>
      <c r="Q329" s="1"/>
      <c r="R329" s="1"/>
      <c r="S329" s="1"/>
      <c r="BB329" s="9" t="str">
        <f t="shared" si="19"/>
        <v>Yes</v>
      </c>
      <c r="BC329" s="9" t="e">
        <f>IF(EFB!$N329=Table1[[#This Row],[ProgramTitle]],"Yes","No")</f>
        <v>#VALUE!</v>
      </c>
      <c r="BD329" s="9" t="e">
        <f>IF(EFB!$S329=Table1[[#This Row],[SeriesEpisodeTitle]],"Yes","No")</f>
        <v>#VALUE!</v>
      </c>
      <c r="BE329" s="11">
        <f t="shared" si="20"/>
        <v>0</v>
      </c>
      <c r="BF329" s="11">
        <f t="shared" si="21"/>
        <v>0</v>
      </c>
      <c r="BH329" s="21" t="e">
        <f>Table1[[#This Row],[StartTime]]+$BG$2</f>
        <v>#VALUE!</v>
      </c>
    </row>
    <row r="330" spans="1:60" x14ac:dyDescent="0.25">
      <c r="A330" s="23"/>
      <c r="B330" s="23"/>
      <c r="C330" s="23"/>
      <c r="D330" s="23"/>
      <c r="E330" s="23"/>
      <c r="G330" s="1"/>
      <c r="H330" s="1"/>
      <c r="I330" s="1"/>
      <c r="J330" s="1"/>
      <c r="K330" s="33"/>
      <c r="L330" s="22"/>
      <c r="M330" s="1"/>
      <c r="N330" s="1"/>
      <c r="O330" s="1"/>
      <c r="P330" s="1"/>
      <c r="Q330" s="1"/>
      <c r="R330" s="1"/>
      <c r="S330" s="1"/>
      <c r="BB330" s="9" t="str">
        <f t="shared" si="19"/>
        <v>Yes</v>
      </c>
      <c r="BC330" s="9" t="e">
        <f>IF(EFB!$N330=Table1[[#This Row],[ProgramTitle]],"Yes","No")</f>
        <v>#VALUE!</v>
      </c>
      <c r="BD330" s="9" t="e">
        <f>IF(EFB!$S330=Table1[[#This Row],[SeriesEpisodeTitle]],"Yes","No")</f>
        <v>#VALUE!</v>
      </c>
      <c r="BE330" s="11">
        <f t="shared" si="20"/>
        <v>0</v>
      </c>
      <c r="BF330" s="11">
        <f t="shared" si="21"/>
        <v>0</v>
      </c>
      <c r="BH330" s="21" t="e">
        <f>Table1[[#This Row],[StartTime]]+$BG$2</f>
        <v>#VALUE!</v>
      </c>
    </row>
    <row r="331" spans="1:60" x14ac:dyDescent="0.25">
      <c r="A331" s="23"/>
      <c r="B331" s="23"/>
      <c r="C331" s="23"/>
      <c r="D331" s="23"/>
      <c r="E331" s="23"/>
      <c r="G331" s="1"/>
      <c r="H331" s="1"/>
      <c r="I331" s="1"/>
      <c r="J331" s="1"/>
      <c r="K331" s="33"/>
      <c r="L331" s="22"/>
      <c r="M331" s="1"/>
      <c r="N331" s="1"/>
      <c r="O331" s="1"/>
      <c r="P331" s="1"/>
      <c r="Q331" s="1"/>
      <c r="R331" s="1"/>
      <c r="S331" s="1"/>
      <c r="BB331" s="9" t="str">
        <f t="shared" si="19"/>
        <v>Yes</v>
      </c>
      <c r="BC331" s="9" t="e">
        <f>IF(EFB!$N331=Table1[[#This Row],[ProgramTitle]],"Yes","No")</f>
        <v>#VALUE!</v>
      </c>
      <c r="BD331" s="9" t="e">
        <f>IF(EFB!$S331=Table1[[#This Row],[SeriesEpisodeTitle]],"Yes","No")</f>
        <v>#VALUE!</v>
      </c>
      <c r="BE331" s="11">
        <f t="shared" si="20"/>
        <v>0</v>
      </c>
      <c r="BF331" s="11">
        <f t="shared" si="21"/>
        <v>0</v>
      </c>
      <c r="BH331" s="21" t="e">
        <f>Table1[[#This Row],[StartTime]]+$BG$2</f>
        <v>#VALUE!</v>
      </c>
    </row>
    <row r="332" spans="1:60" x14ac:dyDescent="0.25">
      <c r="A332" s="23"/>
      <c r="B332" s="23"/>
      <c r="C332" s="23"/>
      <c r="D332" s="23"/>
      <c r="E332" s="23"/>
      <c r="G332" s="1"/>
      <c r="H332" s="1"/>
      <c r="I332" s="1"/>
      <c r="J332" s="1"/>
      <c r="K332" s="33"/>
      <c r="L332" s="22"/>
      <c r="M332" s="1"/>
      <c r="N332" s="1"/>
      <c r="O332" s="1"/>
      <c r="P332" s="1"/>
      <c r="Q332" s="1"/>
      <c r="R332" s="1"/>
      <c r="S332" s="1"/>
      <c r="BB332" s="9" t="str">
        <f t="shared" si="19"/>
        <v>Yes</v>
      </c>
      <c r="BC332" s="9" t="e">
        <f>IF(EFB!$N332=Table1[[#This Row],[ProgramTitle]],"Yes","No")</f>
        <v>#VALUE!</v>
      </c>
      <c r="BD332" s="9" t="e">
        <f>IF(EFB!$S332=Table1[[#This Row],[SeriesEpisodeTitle]],"Yes","No")</f>
        <v>#VALUE!</v>
      </c>
      <c r="BE332" s="11">
        <f t="shared" si="20"/>
        <v>0</v>
      </c>
      <c r="BF332" s="11">
        <f t="shared" si="21"/>
        <v>0</v>
      </c>
      <c r="BH332" s="21" t="e">
        <f>Table1[[#This Row],[StartTime]]+$BG$2</f>
        <v>#VALUE!</v>
      </c>
    </row>
    <row r="333" spans="1:60" x14ac:dyDescent="0.25">
      <c r="A333" s="23"/>
      <c r="B333" s="23"/>
      <c r="C333" s="23"/>
      <c r="D333" s="23"/>
      <c r="E333" s="23"/>
      <c r="G333" s="1"/>
      <c r="H333" s="1"/>
      <c r="I333" s="1"/>
      <c r="J333" s="1"/>
      <c r="K333" s="33"/>
      <c r="L333" s="22"/>
      <c r="M333" s="1"/>
      <c r="N333" s="1"/>
      <c r="O333" s="1"/>
      <c r="P333" s="1"/>
      <c r="Q333" s="1"/>
      <c r="R333" s="1"/>
      <c r="S333" s="1"/>
      <c r="BB333" s="9" t="str">
        <f t="shared" si="19"/>
        <v>Yes</v>
      </c>
      <c r="BC333" s="9" t="e">
        <f>IF(EFB!$N333=Table1[[#This Row],[ProgramTitle]],"Yes","No")</f>
        <v>#VALUE!</v>
      </c>
      <c r="BD333" s="9" t="e">
        <f>IF(EFB!$S333=Table1[[#This Row],[SeriesEpisodeTitle]],"Yes","No")</f>
        <v>#VALUE!</v>
      </c>
      <c r="BE333" s="11">
        <f t="shared" si="20"/>
        <v>0</v>
      </c>
      <c r="BF333" s="11">
        <f t="shared" si="21"/>
        <v>0</v>
      </c>
      <c r="BH333" s="21" t="e">
        <f>Table1[[#This Row],[StartTime]]+$BG$2</f>
        <v>#VALUE!</v>
      </c>
    </row>
    <row r="334" spans="1:60" x14ac:dyDescent="0.25">
      <c r="A334" s="23"/>
      <c r="B334" s="23"/>
      <c r="C334" s="23"/>
      <c r="D334" s="23"/>
      <c r="E334" s="23"/>
      <c r="G334" s="1"/>
      <c r="H334" s="1"/>
      <c r="I334" s="1"/>
      <c r="J334" s="1"/>
      <c r="K334" s="33"/>
      <c r="L334" s="22"/>
      <c r="M334" s="1"/>
      <c r="N334" s="1"/>
      <c r="O334" s="1"/>
      <c r="P334" s="1"/>
      <c r="Q334" s="1"/>
      <c r="R334" s="1"/>
      <c r="S334" s="1"/>
      <c r="BB334" s="9" t="str">
        <f t="shared" si="19"/>
        <v>Yes</v>
      </c>
      <c r="BC334" s="9" t="e">
        <f>IF(EFB!$N334=Table1[[#This Row],[ProgramTitle]],"Yes","No")</f>
        <v>#VALUE!</v>
      </c>
      <c r="BD334" s="9" t="e">
        <f>IF(EFB!$S334=Table1[[#This Row],[SeriesEpisodeTitle]],"Yes","No")</f>
        <v>#VALUE!</v>
      </c>
      <c r="BE334" s="11">
        <f t="shared" si="20"/>
        <v>0</v>
      </c>
      <c r="BF334" s="11">
        <f t="shared" si="21"/>
        <v>0</v>
      </c>
      <c r="BH334" s="21" t="e">
        <f>Table1[[#This Row],[StartTime]]+$BG$2</f>
        <v>#VALUE!</v>
      </c>
    </row>
    <row r="335" spans="1:60" x14ac:dyDescent="0.25">
      <c r="A335" s="23"/>
      <c r="B335" s="23"/>
      <c r="C335" s="23"/>
      <c r="D335" s="23"/>
      <c r="E335" s="23"/>
      <c r="G335" s="1"/>
      <c r="H335" s="1"/>
      <c r="I335" s="1"/>
      <c r="J335" s="1"/>
      <c r="K335" s="33"/>
      <c r="L335" s="22"/>
      <c r="M335" s="1"/>
      <c r="N335" s="1"/>
      <c r="O335" s="1"/>
      <c r="P335" s="1"/>
      <c r="Q335" s="1"/>
      <c r="R335" s="1"/>
      <c r="S335" s="1"/>
      <c r="BB335" s="9" t="str">
        <f t="shared" si="19"/>
        <v>Yes</v>
      </c>
      <c r="BC335" s="9" t="e">
        <f>IF(EFB!$N335=Table1[[#This Row],[ProgramTitle]],"Yes","No")</f>
        <v>#VALUE!</v>
      </c>
      <c r="BD335" s="9" t="e">
        <f>IF(EFB!$S335=Table1[[#This Row],[SeriesEpisodeTitle]],"Yes","No")</f>
        <v>#VALUE!</v>
      </c>
      <c r="BE335" s="11">
        <f t="shared" si="20"/>
        <v>0</v>
      </c>
      <c r="BF335" s="11">
        <f t="shared" si="21"/>
        <v>0</v>
      </c>
      <c r="BH335" s="21" t="e">
        <f>Table1[[#This Row],[StartTime]]+$BG$2</f>
        <v>#VALUE!</v>
      </c>
    </row>
    <row r="336" spans="1:60" x14ac:dyDescent="0.25">
      <c r="A336" s="23"/>
      <c r="B336" s="23"/>
      <c r="C336" s="23"/>
      <c r="D336" s="23"/>
      <c r="E336" s="23"/>
      <c r="G336" s="1"/>
      <c r="H336" s="1"/>
      <c r="I336" s="1"/>
      <c r="J336" s="1"/>
      <c r="K336" s="33"/>
      <c r="L336" s="22"/>
      <c r="M336" s="1"/>
      <c r="N336" s="1"/>
      <c r="O336" s="1"/>
      <c r="P336" s="1"/>
      <c r="Q336" s="1"/>
      <c r="R336" s="1"/>
      <c r="S336" s="1"/>
      <c r="BB336" s="9" t="str">
        <f t="shared" si="19"/>
        <v>Yes</v>
      </c>
      <c r="BC336" s="9" t="e">
        <f>IF(EFB!$N336=Table1[[#This Row],[ProgramTitle]],"Yes","No")</f>
        <v>#VALUE!</v>
      </c>
      <c r="BD336" s="9" t="e">
        <f>IF(EFB!$S336=Table1[[#This Row],[SeriesEpisodeTitle]],"Yes","No")</f>
        <v>#VALUE!</v>
      </c>
      <c r="BE336" s="11">
        <f t="shared" si="20"/>
        <v>0</v>
      </c>
      <c r="BF336" s="11">
        <f t="shared" si="21"/>
        <v>0</v>
      </c>
      <c r="BH336" s="21" t="e">
        <f>Table1[[#This Row],[StartTime]]+$BG$2</f>
        <v>#VALUE!</v>
      </c>
    </row>
    <row r="337" spans="1:60" x14ac:dyDescent="0.25">
      <c r="A337" s="23"/>
      <c r="B337" s="23"/>
      <c r="C337" s="23"/>
      <c r="D337" s="23"/>
      <c r="E337" s="23"/>
      <c r="G337" s="1"/>
      <c r="H337" s="1"/>
      <c r="I337" s="1"/>
      <c r="J337" s="1"/>
      <c r="K337" s="33"/>
      <c r="L337" s="22"/>
      <c r="M337" s="1"/>
      <c r="N337" s="1"/>
      <c r="O337" s="1"/>
      <c r="P337" s="1"/>
      <c r="Q337" s="1"/>
      <c r="R337" s="1"/>
      <c r="S337" s="1"/>
      <c r="BB337" s="9" t="str">
        <f t="shared" si="19"/>
        <v>Yes</v>
      </c>
      <c r="BC337" s="9" t="e">
        <f>IF(EFB!$N337=Table1[[#This Row],[ProgramTitle]],"Yes","No")</f>
        <v>#VALUE!</v>
      </c>
      <c r="BD337" s="9" t="e">
        <f>IF(EFB!$S337=Table1[[#This Row],[SeriesEpisodeTitle]],"Yes","No")</f>
        <v>#VALUE!</v>
      </c>
      <c r="BE337" s="11">
        <f t="shared" si="20"/>
        <v>0</v>
      </c>
      <c r="BF337" s="11">
        <f t="shared" si="21"/>
        <v>0</v>
      </c>
      <c r="BH337" s="21" t="e">
        <f>Table1[[#This Row],[StartTime]]+$BG$2</f>
        <v>#VALUE!</v>
      </c>
    </row>
    <row r="338" spans="1:60" x14ac:dyDescent="0.25">
      <c r="A338" s="23"/>
      <c r="B338" s="23"/>
      <c r="C338" s="23"/>
      <c r="D338" s="23"/>
      <c r="E338" s="23"/>
      <c r="G338" s="1"/>
      <c r="H338" s="1"/>
      <c r="I338" s="1"/>
      <c r="J338" s="1"/>
      <c r="K338" s="33"/>
      <c r="L338" s="22"/>
      <c r="M338" s="1"/>
      <c r="N338" s="1"/>
      <c r="O338" s="1"/>
      <c r="P338" s="1"/>
      <c r="Q338" s="1"/>
      <c r="R338" s="1"/>
      <c r="S338" s="1"/>
      <c r="BB338" s="9" t="str">
        <f t="shared" si="19"/>
        <v>Yes</v>
      </c>
      <c r="BC338" s="9" t="e">
        <f>IF(EFB!$N338=Table1[[#This Row],[ProgramTitle]],"Yes","No")</f>
        <v>#VALUE!</v>
      </c>
      <c r="BD338" s="9" t="e">
        <f>IF(EFB!$S338=Table1[[#This Row],[SeriesEpisodeTitle]],"Yes","No")</f>
        <v>#VALUE!</v>
      </c>
      <c r="BE338" s="11">
        <f t="shared" si="20"/>
        <v>0</v>
      </c>
      <c r="BF338" s="11">
        <f t="shared" si="21"/>
        <v>0</v>
      </c>
      <c r="BH338" s="21" t="e">
        <f>Table1[[#This Row],[StartTime]]+$BG$2</f>
        <v>#VALUE!</v>
      </c>
    </row>
    <row r="339" spans="1:60" x14ac:dyDescent="0.25">
      <c r="A339" s="23"/>
      <c r="B339" s="23"/>
      <c r="C339" s="23"/>
      <c r="D339" s="23"/>
      <c r="E339" s="23"/>
      <c r="G339" s="1"/>
      <c r="H339" s="1"/>
      <c r="I339" s="1"/>
      <c r="J339" s="1"/>
      <c r="K339" s="33"/>
      <c r="L339" s="22"/>
      <c r="M339" s="1"/>
      <c r="N339" s="1"/>
      <c r="O339" s="1"/>
      <c r="P339" s="1"/>
      <c r="Q339" s="1"/>
      <c r="R339" s="1"/>
      <c r="S339" s="1"/>
      <c r="BB339" s="9" t="str">
        <f t="shared" si="19"/>
        <v>Yes</v>
      </c>
      <c r="BC339" s="9" t="e">
        <f>IF(EFB!$N339=Table1[[#This Row],[ProgramTitle]],"Yes","No")</f>
        <v>#VALUE!</v>
      </c>
      <c r="BD339" s="9" t="e">
        <f>IF(EFB!$S339=Table1[[#This Row],[SeriesEpisodeTitle]],"Yes","No")</f>
        <v>#VALUE!</v>
      </c>
      <c r="BE339" s="11">
        <f t="shared" si="20"/>
        <v>0</v>
      </c>
      <c r="BF339" s="11">
        <f t="shared" si="21"/>
        <v>0</v>
      </c>
      <c r="BH339" s="21" t="e">
        <f>Table1[[#This Row],[StartTime]]+$BG$2</f>
        <v>#VALUE!</v>
      </c>
    </row>
    <row r="340" spans="1:60" x14ac:dyDescent="0.25">
      <c r="A340" s="23"/>
      <c r="B340" s="23"/>
      <c r="C340" s="23"/>
      <c r="D340" s="23"/>
      <c r="E340" s="23"/>
      <c r="G340" s="1"/>
      <c r="H340" s="1"/>
      <c r="I340" s="1"/>
      <c r="J340" s="1"/>
      <c r="K340" s="33"/>
      <c r="L340" s="22"/>
      <c r="M340" s="1"/>
      <c r="N340" s="1"/>
      <c r="O340" s="1"/>
      <c r="P340" s="1"/>
      <c r="Q340" s="1"/>
      <c r="R340" s="1"/>
      <c r="S340" s="1"/>
      <c r="BB340" s="9" t="str">
        <f t="shared" si="19"/>
        <v>Yes</v>
      </c>
      <c r="BC340" s="9" t="e">
        <f>IF(EFB!$N340=Table1[[#This Row],[ProgramTitle]],"Yes","No")</f>
        <v>#VALUE!</v>
      </c>
      <c r="BD340" s="9" t="e">
        <f>IF(EFB!$S340=Table1[[#This Row],[SeriesEpisodeTitle]],"Yes","No")</f>
        <v>#VALUE!</v>
      </c>
      <c r="BE340" s="11">
        <f t="shared" si="20"/>
        <v>0</v>
      </c>
      <c r="BF340" s="11">
        <f t="shared" si="21"/>
        <v>0</v>
      </c>
      <c r="BH340" s="21" t="e">
        <f>Table1[[#This Row],[StartTime]]+$BG$2</f>
        <v>#VALUE!</v>
      </c>
    </row>
    <row r="341" spans="1:60" x14ac:dyDescent="0.25">
      <c r="A341" s="23"/>
      <c r="B341" s="23"/>
      <c r="C341" s="23"/>
      <c r="D341" s="23"/>
      <c r="E341" s="23"/>
      <c r="G341" s="1"/>
      <c r="H341" s="1"/>
      <c r="I341" s="1"/>
      <c r="J341" s="1"/>
      <c r="K341" s="33"/>
      <c r="L341" s="22"/>
      <c r="M341" s="1"/>
      <c r="N341" s="1"/>
      <c r="O341" s="1"/>
      <c r="P341" s="1"/>
      <c r="Q341" s="1"/>
      <c r="R341" s="1"/>
      <c r="S341" s="1"/>
      <c r="BB341" s="9" t="str">
        <f t="shared" si="19"/>
        <v>Yes</v>
      </c>
      <c r="BC341" s="9" t="e">
        <f>IF(EFB!$N341=Table1[[#This Row],[ProgramTitle]],"Yes","No")</f>
        <v>#VALUE!</v>
      </c>
      <c r="BD341" s="9" t="e">
        <f>IF(EFB!$S341=Table1[[#This Row],[SeriesEpisodeTitle]],"Yes","No")</f>
        <v>#VALUE!</v>
      </c>
      <c r="BE341" s="11">
        <f t="shared" si="20"/>
        <v>0</v>
      </c>
      <c r="BF341" s="11">
        <f t="shared" si="21"/>
        <v>0</v>
      </c>
      <c r="BH341" s="21" t="e">
        <f>Table1[[#This Row],[StartTime]]+$BG$2</f>
        <v>#VALUE!</v>
      </c>
    </row>
    <row r="342" spans="1:60" x14ac:dyDescent="0.25">
      <c r="A342" s="23"/>
      <c r="B342" s="23"/>
      <c r="C342" s="23"/>
      <c r="D342" s="23"/>
      <c r="E342" s="23"/>
      <c r="G342" s="1"/>
      <c r="H342" s="1"/>
      <c r="I342" s="1"/>
      <c r="J342" s="1"/>
      <c r="K342" s="33"/>
      <c r="L342" s="22"/>
      <c r="M342" s="1"/>
      <c r="N342" s="1"/>
      <c r="O342" s="1"/>
      <c r="P342" s="1"/>
      <c r="Q342" s="1"/>
      <c r="R342" s="1"/>
      <c r="S342" s="1"/>
      <c r="BB342" s="9" t="str">
        <f t="shared" si="19"/>
        <v>Yes</v>
      </c>
      <c r="BC342" s="9" t="e">
        <f>IF(EFB!$N342=Table1[[#This Row],[ProgramTitle]],"Yes","No")</f>
        <v>#VALUE!</v>
      </c>
      <c r="BD342" s="9" t="e">
        <f>IF(EFB!$S342=Table1[[#This Row],[SeriesEpisodeTitle]],"Yes","No")</f>
        <v>#VALUE!</v>
      </c>
      <c r="BE342" s="11">
        <f t="shared" si="20"/>
        <v>0</v>
      </c>
      <c r="BF342" s="11">
        <f t="shared" si="21"/>
        <v>0</v>
      </c>
      <c r="BH342" s="21" t="e">
        <f>Table1[[#This Row],[StartTime]]+$BG$2</f>
        <v>#VALUE!</v>
      </c>
    </row>
    <row r="343" spans="1:60" x14ac:dyDescent="0.25">
      <c r="A343" s="23"/>
      <c r="B343" s="23"/>
      <c r="C343" s="23"/>
      <c r="D343" s="23"/>
      <c r="E343" s="23"/>
      <c r="G343" s="1"/>
      <c r="H343" s="1"/>
      <c r="I343" s="1"/>
      <c r="J343" s="1"/>
      <c r="K343" s="33"/>
      <c r="L343" s="22"/>
      <c r="M343" s="1"/>
      <c r="N343" s="1"/>
      <c r="O343" s="1"/>
      <c r="P343" s="1"/>
      <c r="Q343" s="1"/>
      <c r="R343" s="1"/>
      <c r="S343" s="1"/>
      <c r="BB343" s="9" t="str">
        <f t="shared" si="19"/>
        <v>Yes</v>
      </c>
      <c r="BC343" s="9" t="e">
        <f>IF(EFB!$N343=Table1[[#This Row],[ProgramTitle]],"Yes","No")</f>
        <v>#VALUE!</v>
      </c>
      <c r="BD343" s="9" t="e">
        <f>IF(EFB!$S343=Table1[[#This Row],[SeriesEpisodeTitle]],"Yes","No")</f>
        <v>#VALUE!</v>
      </c>
      <c r="BE343" s="11">
        <f t="shared" si="20"/>
        <v>0</v>
      </c>
      <c r="BF343" s="11">
        <f t="shared" si="21"/>
        <v>0</v>
      </c>
      <c r="BH343" s="21" t="e">
        <f>Table1[[#This Row],[StartTime]]+$BG$2</f>
        <v>#VALUE!</v>
      </c>
    </row>
    <row r="344" spans="1:60" x14ac:dyDescent="0.25">
      <c r="A344" s="23"/>
      <c r="B344" s="23"/>
      <c r="C344" s="23"/>
      <c r="D344" s="23"/>
      <c r="E344" s="23"/>
      <c r="G344" s="1"/>
      <c r="H344" s="1"/>
      <c r="I344" s="1"/>
      <c r="J344" s="1"/>
      <c r="K344" s="33"/>
      <c r="L344" s="22"/>
      <c r="M344" s="1"/>
      <c r="N344" s="1"/>
      <c r="O344" s="1"/>
      <c r="P344" s="1"/>
      <c r="Q344" s="1"/>
      <c r="R344" s="1"/>
      <c r="S344" s="1"/>
      <c r="BB344" s="9" t="str">
        <f t="shared" si="19"/>
        <v>Yes</v>
      </c>
      <c r="BC344" s="9" t="e">
        <f>IF(EFB!$N344=Table1[[#This Row],[ProgramTitle]],"Yes","No")</f>
        <v>#VALUE!</v>
      </c>
      <c r="BD344" s="9" t="e">
        <f>IF(EFB!$S344=Table1[[#This Row],[SeriesEpisodeTitle]],"Yes","No")</f>
        <v>#VALUE!</v>
      </c>
      <c r="BE344" s="11">
        <f t="shared" si="20"/>
        <v>0</v>
      </c>
      <c r="BF344" s="11">
        <f t="shared" si="21"/>
        <v>0</v>
      </c>
      <c r="BH344" s="21" t="e">
        <f>Table1[[#This Row],[StartTime]]+$BG$2</f>
        <v>#VALUE!</v>
      </c>
    </row>
    <row r="345" spans="1:60" x14ac:dyDescent="0.25">
      <c r="A345" s="23"/>
      <c r="B345" s="23"/>
      <c r="C345" s="23"/>
      <c r="D345" s="23"/>
      <c r="E345" s="23"/>
      <c r="G345" s="1"/>
      <c r="H345" s="1"/>
      <c r="I345" s="1"/>
      <c r="J345" s="1"/>
      <c r="K345" s="33"/>
      <c r="L345" s="22"/>
      <c r="M345" s="1"/>
      <c r="N345" s="1"/>
      <c r="O345" s="1"/>
      <c r="P345" s="1"/>
      <c r="Q345" s="1"/>
      <c r="R345" s="1"/>
      <c r="S345" s="1"/>
      <c r="BB345" s="9" t="str">
        <f t="shared" si="19"/>
        <v>Yes</v>
      </c>
      <c r="BC345" s="9" t="e">
        <f>IF(EFB!$N345=Table1[[#This Row],[ProgramTitle]],"Yes","No")</f>
        <v>#VALUE!</v>
      </c>
      <c r="BD345" s="9" t="e">
        <f>IF(EFB!$S345=Table1[[#This Row],[SeriesEpisodeTitle]],"Yes","No")</f>
        <v>#VALUE!</v>
      </c>
      <c r="BE345" s="11">
        <f t="shared" si="20"/>
        <v>0</v>
      </c>
      <c r="BF345" s="11">
        <f t="shared" si="21"/>
        <v>0</v>
      </c>
      <c r="BH345" s="21" t="e">
        <f>Table1[[#This Row],[StartTime]]+$BG$2</f>
        <v>#VALUE!</v>
      </c>
    </row>
    <row r="346" spans="1:60" x14ac:dyDescent="0.25">
      <c r="C346" s="35"/>
      <c r="G346" s="1"/>
      <c r="H346" s="1"/>
      <c r="I346" s="1"/>
      <c r="J346" s="1"/>
      <c r="K346" s="33"/>
      <c r="L346" s="22"/>
      <c r="M346" s="1"/>
      <c r="N346" s="1"/>
      <c r="O346" s="1"/>
      <c r="P346" s="1"/>
      <c r="Q346" s="1"/>
      <c r="R346" s="1"/>
      <c r="S346" s="1"/>
      <c r="BB346" s="9" t="str">
        <f t="shared" si="19"/>
        <v>Yes</v>
      </c>
      <c r="BC346" s="9" t="e">
        <f>IF(EFB!$N346=Table1[[#This Row],[ProgramTitle]],"Yes","No")</f>
        <v>#VALUE!</v>
      </c>
      <c r="BD346" s="9" t="e">
        <f>IF(EFB!$S346=Table1[[#This Row],[SeriesEpisodeTitle]],"Yes","No")</f>
        <v>#VALUE!</v>
      </c>
      <c r="BE346" s="11">
        <f t="shared" si="20"/>
        <v>0</v>
      </c>
      <c r="BF346" s="11">
        <f t="shared" si="21"/>
        <v>0</v>
      </c>
      <c r="BH346" s="21" t="e">
        <f>Table1[[#This Row],[StartTime]]+$BG$2</f>
        <v>#VALUE!</v>
      </c>
    </row>
    <row r="347" spans="1:60" x14ac:dyDescent="0.25">
      <c r="C347" s="35"/>
      <c r="G347" s="1"/>
      <c r="H347" s="1"/>
      <c r="I347" s="1"/>
      <c r="J347" s="1"/>
      <c r="K347" s="33"/>
      <c r="L347" s="22"/>
      <c r="M347" s="1"/>
      <c r="N347" s="1"/>
      <c r="O347" s="1"/>
      <c r="P347" s="1"/>
      <c r="Q347" s="1"/>
      <c r="R347" s="1"/>
      <c r="S347" s="1"/>
      <c r="BB347" s="9" t="str">
        <f t="shared" si="19"/>
        <v>Yes</v>
      </c>
      <c r="BC347" s="9" t="e">
        <f>IF(EFB!$N347=Table1[[#This Row],[ProgramTitle]],"Yes","No")</f>
        <v>#VALUE!</v>
      </c>
      <c r="BD347" s="9" t="e">
        <f>IF(EFB!$S347=Table1[[#This Row],[SeriesEpisodeTitle]],"Yes","No")</f>
        <v>#VALUE!</v>
      </c>
      <c r="BE347" s="11">
        <f t="shared" si="20"/>
        <v>0</v>
      </c>
      <c r="BF347" s="11">
        <f t="shared" si="21"/>
        <v>0</v>
      </c>
      <c r="BH347" s="21" t="e">
        <f>Table1[[#This Row],[StartTime]]+$BG$2</f>
        <v>#VALUE!</v>
      </c>
    </row>
    <row r="348" spans="1:60" x14ac:dyDescent="0.25">
      <c r="C348" s="35"/>
      <c r="G348" s="1"/>
      <c r="H348" s="1"/>
      <c r="I348" s="1"/>
      <c r="J348" s="1"/>
      <c r="K348" s="33"/>
      <c r="L348" s="22"/>
      <c r="M348" s="1"/>
      <c r="N348" s="1"/>
      <c r="O348" s="1"/>
      <c r="P348" s="1"/>
      <c r="Q348" s="1"/>
      <c r="R348" s="1"/>
      <c r="S348" s="1"/>
      <c r="BB348" s="9" t="str">
        <f t="shared" si="19"/>
        <v>Yes</v>
      </c>
      <c r="BC348" s="9" t="e">
        <f>IF(EFB!$N348=Table1[[#This Row],[ProgramTitle]],"Yes","No")</f>
        <v>#VALUE!</v>
      </c>
      <c r="BD348" s="9" t="e">
        <f>IF(EFB!$S348=Table1[[#This Row],[SeriesEpisodeTitle]],"Yes","No")</f>
        <v>#VALUE!</v>
      </c>
      <c r="BE348" s="11">
        <f t="shared" si="20"/>
        <v>0</v>
      </c>
      <c r="BF348" s="11">
        <f t="shared" si="21"/>
        <v>0</v>
      </c>
      <c r="BH348" s="21" t="e">
        <f>Table1[[#This Row],[StartTime]]+$BG$2</f>
        <v>#VALUE!</v>
      </c>
    </row>
    <row r="349" spans="1:60" x14ac:dyDescent="0.25">
      <c r="C349" s="35"/>
      <c r="G349" s="1"/>
      <c r="H349" s="1"/>
      <c r="I349" s="1"/>
      <c r="J349" s="1"/>
      <c r="K349" s="33"/>
      <c r="L349" s="22"/>
      <c r="M349" s="1"/>
      <c r="N349" s="1"/>
      <c r="O349" s="1"/>
      <c r="P349" s="1"/>
      <c r="Q349" s="1"/>
      <c r="R349" s="1"/>
      <c r="S349" s="1"/>
      <c r="BB349" s="9" t="str">
        <f t="shared" si="19"/>
        <v>Yes</v>
      </c>
      <c r="BC349" s="9" t="e">
        <f>IF(EFB!$N349=Table1[[#This Row],[ProgramTitle]],"Yes","No")</f>
        <v>#VALUE!</v>
      </c>
      <c r="BD349" s="9" t="e">
        <f>IF(EFB!$S349=Table1[[#This Row],[SeriesEpisodeTitle]],"Yes","No")</f>
        <v>#VALUE!</v>
      </c>
      <c r="BE349" s="11">
        <f t="shared" si="20"/>
        <v>0</v>
      </c>
      <c r="BF349" s="11">
        <f t="shared" si="21"/>
        <v>0</v>
      </c>
      <c r="BH349" s="21" t="e">
        <f>Table1[[#This Row],[StartTime]]+$BG$2</f>
        <v>#VALUE!</v>
      </c>
    </row>
    <row r="350" spans="1:60" x14ac:dyDescent="0.25">
      <c r="C350" s="35"/>
      <c r="G350" s="1"/>
      <c r="H350" s="1"/>
      <c r="I350" s="1"/>
      <c r="J350" s="1"/>
      <c r="K350" s="33"/>
      <c r="L350" s="22"/>
      <c r="M350" s="1"/>
      <c r="N350" s="1"/>
      <c r="O350" s="1"/>
      <c r="P350" s="1"/>
      <c r="Q350" s="1"/>
      <c r="R350" s="1"/>
      <c r="S350" s="1"/>
      <c r="BB350" s="9" t="str">
        <f t="shared" si="19"/>
        <v>Yes</v>
      </c>
      <c r="BC350" s="9" t="e">
        <f>IF(EFB!$N350=Table1[[#This Row],[ProgramTitle]],"Yes","No")</f>
        <v>#VALUE!</v>
      </c>
      <c r="BD350" s="9" t="e">
        <f>IF(EFB!$S350=Table1[[#This Row],[SeriesEpisodeTitle]],"Yes","No")</f>
        <v>#VALUE!</v>
      </c>
      <c r="BE350" s="11">
        <f t="shared" si="20"/>
        <v>0</v>
      </c>
      <c r="BF350" s="11">
        <f t="shared" si="21"/>
        <v>0</v>
      </c>
      <c r="BH350" s="21" t="e">
        <f>Table1[[#This Row],[StartTime]]+$BG$2</f>
        <v>#VALUE!</v>
      </c>
    </row>
    <row r="351" spans="1:60" x14ac:dyDescent="0.25">
      <c r="C351" s="35"/>
      <c r="G351" s="1"/>
      <c r="H351" s="1"/>
      <c r="I351" s="1"/>
      <c r="J351" s="1"/>
      <c r="K351" s="33"/>
      <c r="L351" s="22"/>
      <c r="M351" s="1"/>
      <c r="N351" s="1"/>
      <c r="O351" s="1"/>
      <c r="P351" s="1"/>
      <c r="Q351" s="1"/>
      <c r="R351" s="1"/>
      <c r="S351" s="1"/>
      <c r="BB351" s="9" t="str">
        <f t="shared" si="19"/>
        <v>Yes</v>
      </c>
      <c r="BC351" s="9" t="e">
        <f>IF(EFB!$N351=Table1[[#This Row],[ProgramTitle]],"Yes","No")</f>
        <v>#VALUE!</v>
      </c>
      <c r="BD351" s="9" t="e">
        <f>IF(EFB!$S351=Table1[[#This Row],[SeriesEpisodeTitle]],"Yes","No")</f>
        <v>#VALUE!</v>
      </c>
      <c r="BE351" s="11">
        <f t="shared" si="20"/>
        <v>0</v>
      </c>
      <c r="BF351" s="11">
        <f t="shared" si="21"/>
        <v>0</v>
      </c>
      <c r="BH351" s="21" t="e">
        <f>Table1[[#This Row],[StartTime]]+$BG$2</f>
        <v>#VALUE!</v>
      </c>
    </row>
    <row r="352" spans="1:60" x14ac:dyDescent="0.25">
      <c r="C352" s="35"/>
      <c r="G352" s="1"/>
      <c r="H352" s="1"/>
      <c r="I352" s="1"/>
      <c r="J352" s="1"/>
      <c r="K352" s="33"/>
      <c r="L352" s="22"/>
      <c r="M352" s="1"/>
      <c r="N352" s="1"/>
      <c r="O352" s="1"/>
      <c r="P352" s="1"/>
      <c r="Q352" s="1"/>
      <c r="R352" s="1"/>
      <c r="S352" s="1"/>
      <c r="BB352" s="9" t="str">
        <f t="shared" si="19"/>
        <v>Yes</v>
      </c>
      <c r="BC352" s="9" t="e">
        <f>IF(EFB!$N352=Table1[[#This Row],[ProgramTitle]],"Yes","No")</f>
        <v>#VALUE!</v>
      </c>
      <c r="BD352" s="9" t="e">
        <f>IF(EFB!$S352=Table1[[#This Row],[SeriesEpisodeTitle]],"Yes","No")</f>
        <v>#VALUE!</v>
      </c>
      <c r="BE352" s="11">
        <f t="shared" si="20"/>
        <v>0</v>
      </c>
      <c r="BF352" s="11">
        <f t="shared" si="21"/>
        <v>0</v>
      </c>
      <c r="BH352" s="21" t="e">
        <f>Table1[[#This Row],[StartTime]]+$BG$2</f>
        <v>#VALUE!</v>
      </c>
    </row>
    <row r="353" spans="3:60" x14ac:dyDescent="0.25">
      <c r="C353" s="35"/>
      <c r="G353" s="1"/>
      <c r="H353" s="1"/>
      <c r="I353" s="1"/>
      <c r="J353" s="1"/>
      <c r="K353" s="33"/>
      <c r="L353" s="22"/>
      <c r="M353" s="1"/>
      <c r="N353" s="1"/>
      <c r="O353" s="1"/>
      <c r="P353" s="1"/>
      <c r="Q353" s="1"/>
      <c r="R353" s="1"/>
      <c r="S353" s="1"/>
      <c r="BB353" s="9" t="str">
        <f t="shared" si="19"/>
        <v>Yes</v>
      </c>
      <c r="BC353" s="9" t="e">
        <f>IF(EFB!$N353=Table1[[#This Row],[ProgramTitle]],"Yes","No")</f>
        <v>#VALUE!</v>
      </c>
      <c r="BD353" s="9" t="e">
        <f>IF(EFB!$S353=Table1[[#This Row],[SeriesEpisodeTitle]],"Yes","No")</f>
        <v>#VALUE!</v>
      </c>
      <c r="BE353" s="11">
        <f t="shared" si="20"/>
        <v>0</v>
      </c>
      <c r="BF353" s="11">
        <f t="shared" si="21"/>
        <v>0</v>
      </c>
      <c r="BH353" s="21" t="e">
        <f>Table1[[#This Row],[StartTime]]+$BG$2</f>
        <v>#VALUE!</v>
      </c>
    </row>
    <row r="354" spans="3:60" x14ac:dyDescent="0.25">
      <c r="C354" s="35"/>
      <c r="G354" s="1"/>
      <c r="H354" s="1"/>
      <c r="I354" s="1"/>
      <c r="J354" s="1"/>
      <c r="K354" s="33"/>
      <c r="L354" s="22"/>
      <c r="M354" s="1"/>
      <c r="N354" s="1"/>
      <c r="O354" s="1"/>
      <c r="P354" s="1"/>
      <c r="Q354" s="1"/>
      <c r="R354" s="1"/>
      <c r="S354" s="1"/>
      <c r="BB354" s="9" t="str">
        <f t="shared" si="19"/>
        <v>Yes</v>
      </c>
      <c r="BC354" s="9" t="e">
        <f>IF(EFB!$N354=Table1[[#This Row],[ProgramTitle]],"Yes","No")</f>
        <v>#VALUE!</v>
      </c>
      <c r="BD354" s="9" t="e">
        <f>IF(EFB!$S354=Table1[[#This Row],[SeriesEpisodeTitle]],"Yes","No")</f>
        <v>#VALUE!</v>
      </c>
      <c r="BE354" s="11">
        <f t="shared" si="20"/>
        <v>0</v>
      </c>
      <c r="BF354" s="11">
        <f t="shared" si="21"/>
        <v>0</v>
      </c>
      <c r="BH354" s="21" t="e">
        <f>Table1[[#This Row],[StartTime]]+$BG$2</f>
        <v>#VALUE!</v>
      </c>
    </row>
    <row r="355" spans="3:60" x14ac:dyDescent="0.25">
      <c r="C355" s="35"/>
      <c r="G355" s="1"/>
      <c r="H355" s="1"/>
      <c r="I355" s="1"/>
      <c r="J355" s="1"/>
      <c r="K355" s="33"/>
      <c r="L355" s="22"/>
      <c r="M355" s="1"/>
      <c r="N355" s="1"/>
      <c r="O355" s="1"/>
      <c r="P355" s="1"/>
      <c r="Q355" s="1"/>
      <c r="R355" s="1"/>
      <c r="S355" s="1"/>
      <c r="BB355" s="9" t="str">
        <f t="shared" si="19"/>
        <v>Yes</v>
      </c>
      <c r="BC355" s="9" t="e">
        <f>IF(EFB!$N355=Table1[[#This Row],[ProgramTitle]],"Yes","No")</f>
        <v>#VALUE!</v>
      </c>
      <c r="BD355" s="9" t="e">
        <f>IF(EFB!$S355=Table1[[#This Row],[SeriesEpisodeTitle]],"Yes","No")</f>
        <v>#VALUE!</v>
      </c>
      <c r="BE355" s="11">
        <f t="shared" si="20"/>
        <v>0</v>
      </c>
      <c r="BF355" s="11">
        <f t="shared" si="21"/>
        <v>0</v>
      </c>
      <c r="BH355" s="21" t="e">
        <f>Table1[[#This Row],[StartTime]]+$BG$2</f>
        <v>#VALUE!</v>
      </c>
    </row>
    <row r="356" spans="3:60" x14ac:dyDescent="0.25">
      <c r="C356" s="35"/>
      <c r="G356" s="1"/>
      <c r="H356" s="1"/>
      <c r="I356" s="1"/>
      <c r="J356" s="1"/>
      <c r="K356" s="33"/>
      <c r="L356" s="22"/>
      <c r="M356" s="1"/>
      <c r="N356" s="1"/>
      <c r="O356" s="1"/>
      <c r="P356" s="1"/>
      <c r="Q356" s="1"/>
      <c r="R356" s="1"/>
      <c r="S356" s="1"/>
      <c r="BB356" s="9" t="str">
        <f t="shared" si="19"/>
        <v>Yes</v>
      </c>
      <c r="BC356" s="9" t="e">
        <f>IF(EFB!$N356=Table1[[#This Row],[ProgramTitle]],"Yes","No")</f>
        <v>#VALUE!</v>
      </c>
      <c r="BD356" s="9" t="e">
        <f>IF(EFB!$S356=Table1[[#This Row],[SeriesEpisodeTitle]],"Yes","No")</f>
        <v>#VALUE!</v>
      </c>
      <c r="BE356" s="11">
        <f t="shared" si="20"/>
        <v>0</v>
      </c>
      <c r="BF356" s="11">
        <f t="shared" si="21"/>
        <v>0</v>
      </c>
      <c r="BH356" s="21" t="e">
        <f>Table1[[#This Row],[StartTime]]+$BG$2</f>
        <v>#VALUE!</v>
      </c>
    </row>
    <row r="357" spans="3:60" x14ac:dyDescent="0.25">
      <c r="C357" s="35"/>
      <c r="G357" s="1"/>
      <c r="H357" s="1"/>
      <c r="I357" s="1"/>
      <c r="J357" s="1"/>
      <c r="K357" s="33"/>
      <c r="L357" s="22"/>
      <c r="M357" s="1"/>
      <c r="N357" s="1"/>
      <c r="O357" s="1"/>
      <c r="P357" s="1"/>
      <c r="Q357" s="1"/>
      <c r="R357" s="1"/>
      <c r="S357" s="1"/>
      <c r="BB357" s="9" t="str">
        <f t="shared" si="19"/>
        <v>Yes</v>
      </c>
      <c r="BC357" s="9" t="e">
        <f>IF(EFB!$N357=Table1[[#This Row],[ProgramTitle]],"Yes","No")</f>
        <v>#VALUE!</v>
      </c>
      <c r="BD357" s="9" t="e">
        <f>IF(EFB!$S357=Table1[[#This Row],[SeriesEpisodeTitle]],"Yes","No")</f>
        <v>#VALUE!</v>
      </c>
      <c r="BE357" s="11">
        <f t="shared" si="20"/>
        <v>0</v>
      </c>
      <c r="BF357" s="11">
        <f t="shared" si="21"/>
        <v>0</v>
      </c>
      <c r="BH357" s="21" t="e">
        <f>Table1[[#This Row],[StartTime]]+$BG$2</f>
        <v>#VALUE!</v>
      </c>
    </row>
    <row r="358" spans="3:60" x14ac:dyDescent="0.25">
      <c r="C358" s="35"/>
      <c r="G358" s="1"/>
      <c r="H358" s="1"/>
      <c r="I358" s="1"/>
      <c r="J358" s="1"/>
      <c r="K358" s="33"/>
      <c r="L358" s="22"/>
      <c r="M358" s="1"/>
      <c r="N358" s="1"/>
      <c r="O358" s="1"/>
      <c r="P358" s="1"/>
      <c r="Q358" s="1"/>
      <c r="R358" s="1"/>
      <c r="S358" s="1"/>
      <c r="BB358" s="9" t="str">
        <f t="shared" si="19"/>
        <v>Yes</v>
      </c>
      <c r="BC358" s="9" t="e">
        <f>IF(EFB!$N358=Table1[[#This Row],[ProgramTitle]],"Yes","No")</f>
        <v>#VALUE!</v>
      </c>
      <c r="BD358" s="9" t="e">
        <f>IF(EFB!$S358=Table1[[#This Row],[SeriesEpisodeTitle]],"Yes","No")</f>
        <v>#VALUE!</v>
      </c>
      <c r="BE358" s="11">
        <f t="shared" si="20"/>
        <v>0</v>
      </c>
      <c r="BF358" s="11">
        <f t="shared" si="21"/>
        <v>0</v>
      </c>
      <c r="BH358" s="21" t="e">
        <f>Table1[[#This Row],[StartTime]]+$BG$2</f>
        <v>#VALUE!</v>
      </c>
    </row>
    <row r="359" spans="3:60" x14ac:dyDescent="0.25">
      <c r="C359" s="35"/>
      <c r="G359" s="1"/>
      <c r="H359" s="1"/>
      <c r="I359" s="1"/>
      <c r="J359" s="1"/>
      <c r="K359" s="33"/>
      <c r="L359" s="22"/>
      <c r="M359" s="1"/>
      <c r="N359" s="1"/>
      <c r="O359" s="1"/>
      <c r="P359" s="1"/>
      <c r="Q359" s="1"/>
      <c r="R359" s="1"/>
      <c r="S359" s="1"/>
      <c r="BB359" s="9" t="str">
        <f t="shared" si="19"/>
        <v>Yes</v>
      </c>
      <c r="BC359" s="9" t="e">
        <f>IF(EFB!$N359=Table1[[#This Row],[ProgramTitle]],"Yes","No")</f>
        <v>#VALUE!</v>
      </c>
      <c r="BD359" s="9" t="e">
        <f>IF(EFB!$S359=Table1[[#This Row],[SeriesEpisodeTitle]],"Yes","No")</f>
        <v>#VALUE!</v>
      </c>
      <c r="BE359" s="11">
        <f t="shared" si="20"/>
        <v>0</v>
      </c>
      <c r="BF359" s="11">
        <f t="shared" si="21"/>
        <v>0</v>
      </c>
      <c r="BH359" s="21" t="e">
        <f>Table1[[#This Row],[StartTime]]+$BG$2</f>
        <v>#VALUE!</v>
      </c>
    </row>
    <row r="360" spans="3:60" x14ac:dyDescent="0.25">
      <c r="C360" s="35"/>
      <c r="G360" s="1"/>
      <c r="H360" s="1"/>
      <c r="I360" s="1"/>
      <c r="J360" s="1"/>
      <c r="K360" s="33"/>
      <c r="L360" s="22"/>
      <c r="M360" s="1"/>
      <c r="N360" s="1"/>
      <c r="O360" s="1"/>
      <c r="P360" s="1"/>
      <c r="Q360" s="1"/>
      <c r="R360" s="1"/>
      <c r="S360" s="1"/>
      <c r="BB360" s="9" t="str">
        <f t="shared" si="19"/>
        <v>Yes</v>
      </c>
      <c r="BC360" s="9" t="e">
        <f>IF(EFB!$N360=Table1[[#This Row],[ProgramTitle]],"Yes","No")</f>
        <v>#VALUE!</v>
      </c>
      <c r="BD360" s="9" t="e">
        <f>IF(EFB!$S360=Table1[[#This Row],[SeriesEpisodeTitle]],"Yes","No")</f>
        <v>#VALUE!</v>
      </c>
      <c r="BE360" s="11">
        <f t="shared" si="20"/>
        <v>0</v>
      </c>
      <c r="BF360" s="11">
        <f t="shared" si="21"/>
        <v>0</v>
      </c>
      <c r="BH360" s="21" t="e">
        <f>Table1[[#This Row],[StartTime]]+$BG$2</f>
        <v>#VALUE!</v>
      </c>
    </row>
    <row r="361" spans="3:60" x14ac:dyDescent="0.25">
      <c r="C361" s="35"/>
      <c r="G361" s="1"/>
      <c r="H361" s="1"/>
      <c r="I361" s="1"/>
      <c r="J361" s="1"/>
      <c r="K361" s="33"/>
      <c r="L361" s="22"/>
      <c r="M361" s="1"/>
      <c r="N361" s="1"/>
      <c r="O361" s="1"/>
      <c r="P361" s="1"/>
      <c r="Q361" s="1"/>
      <c r="R361" s="1"/>
      <c r="S361" s="1"/>
      <c r="BB361" s="9" t="str">
        <f t="shared" si="19"/>
        <v>Yes</v>
      </c>
      <c r="BC361" s="9" t="e">
        <f>IF(EFB!$N361=Table1[[#This Row],[ProgramTitle]],"Yes","No")</f>
        <v>#VALUE!</v>
      </c>
      <c r="BD361" s="9" t="e">
        <f>IF(EFB!$S361=Table1[[#This Row],[SeriesEpisodeTitle]],"Yes","No")</f>
        <v>#VALUE!</v>
      </c>
      <c r="BE361" s="11">
        <f t="shared" si="20"/>
        <v>0</v>
      </c>
      <c r="BF361" s="11">
        <f t="shared" si="21"/>
        <v>0</v>
      </c>
      <c r="BH361" s="21" t="e">
        <f>Table1[[#This Row],[StartTime]]+$BG$2</f>
        <v>#VALUE!</v>
      </c>
    </row>
    <row r="362" spans="3:60" x14ac:dyDescent="0.25">
      <c r="C362" s="35"/>
      <c r="G362" s="1"/>
      <c r="H362" s="1"/>
      <c r="I362" s="1"/>
      <c r="J362" s="1"/>
      <c r="K362" s="33"/>
      <c r="L362" s="22"/>
      <c r="M362" s="1"/>
      <c r="N362" s="1"/>
      <c r="O362" s="1"/>
      <c r="P362" s="1"/>
      <c r="Q362" s="1"/>
      <c r="R362" s="1"/>
      <c r="S362" s="1"/>
      <c r="BB362" s="9" t="str">
        <f t="shared" si="19"/>
        <v>Yes</v>
      </c>
      <c r="BC362" s="9" t="e">
        <f>IF(EFB!$N362=Table1[[#This Row],[ProgramTitle]],"Yes","No")</f>
        <v>#VALUE!</v>
      </c>
      <c r="BD362" s="9" t="e">
        <f>IF(EFB!$S362=Table1[[#This Row],[SeriesEpisodeTitle]],"Yes","No")</f>
        <v>#VALUE!</v>
      </c>
      <c r="BE362" s="11">
        <f t="shared" si="20"/>
        <v>0</v>
      </c>
      <c r="BF362" s="11">
        <f t="shared" si="21"/>
        <v>0</v>
      </c>
      <c r="BH362" s="21" t="e">
        <f>Table1[[#This Row],[StartTime]]+$BG$2</f>
        <v>#VALUE!</v>
      </c>
    </row>
    <row r="363" spans="3:60" x14ac:dyDescent="0.25">
      <c r="C363" s="35"/>
      <c r="G363" s="1"/>
      <c r="H363" s="1"/>
      <c r="I363" s="1"/>
      <c r="J363" s="1"/>
      <c r="K363" s="33"/>
      <c r="L363" s="22"/>
      <c r="M363" s="1"/>
      <c r="N363" s="1"/>
      <c r="O363" s="1"/>
      <c r="P363" s="1"/>
      <c r="Q363" s="1"/>
      <c r="R363" s="1"/>
      <c r="S363" s="1"/>
      <c r="BB363" s="9" t="str">
        <f t="shared" si="19"/>
        <v>Yes</v>
      </c>
      <c r="BC363" s="9" t="e">
        <f>IF(EFB!$N363=Table1[[#This Row],[ProgramTitle]],"Yes","No")</f>
        <v>#VALUE!</v>
      </c>
      <c r="BD363" s="9" t="e">
        <f>IF(EFB!$S363=Table1[[#This Row],[SeriesEpisodeTitle]],"Yes","No")</f>
        <v>#VALUE!</v>
      </c>
      <c r="BE363" s="11">
        <f t="shared" si="20"/>
        <v>0</v>
      </c>
      <c r="BF363" s="11">
        <f t="shared" si="21"/>
        <v>0</v>
      </c>
      <c r="BH363" s="21" t="e">
        <f>Table1[[#This Row],[StartTime]]+$BG$2</f>
        <v>#VALUE!</v>
      </c>
    </row>
    <row r="364" spans="3:60" x14ac:dyDescent="0.25">
      <c r="C364" s="35"/>
      <c r="G364" s="1"/>
      <c r="H364" s="1"/>
      <c r="I364" s="1"/>
      <c r="J364" s="1"/>
      <c r="K364" s="33"/>
      <c r="L364" s="22"/>
      <c r="M364" s="1"/>
      <c r="N364" s="1"/>
      <c r="O364" s="1"/>
      <c r="P364" s="1"/>
      <c r="Q364" s="1"/>
      <c r="R364" s="1"/>
      <c r="S364" s="1"/>
      <c r="BB364" s="9" t="str">
        <f t="shared" si="19"/>
        <v>Yes</v>
      </c>
      <c r="BC364" s="9" t="e">
        <f>IF(EFB!$N364=Table1[[#This Row],[ProgramTitle]],"Yes","No")</f>
        <v>#VALUE!</v>
      </c>
      <c r="BD364" s="9" t="e">
        <f>IF(EFB!$S364=Table1[[#This Row],[SeriesEpisodeTitle]],"Yes","No")</f>
        <v>#VALUE!</v>
      </c>
      <c r="BE364" s="11">
        <f t="shared" si="20"/>
        <v>0</v>
      </c>
      <c r="BF364" s="11">
        <f t="shared" si="21"/>
        <v>0</v>
      </c>
      <c r="BH364" s="21" t="e">
        <f>Table1[[#This Row],[StartTime]]+$BG$2</f>
        <v>#VALUE!</v>
      </c>
    </row>
    <row r="365" spans="3:60" x14ac:dyDescent="0.25">
      <c r="C365" s="35"/>
      <c r="G365" s="1"/>
      <c r="H365" s="1"/>
      <c r="I365" s="1"/>
      <c r="J365" s="1"/>
      <c r="K365" s="33"/>
      <c r="L365" s="22"/>
      <c r="M365" s="1"/>
      <c r="N365" s="1"/>
      <c r="O365" s="1"/>
      <c r="P365" s="1"/>
      <c r="Q365" s="1"/>
      <c r="R365" s="1"/>
      <c r="S365" s="1"/>
      <c r="BB365" s="9" t="str">
        <f t="shared" si="19"/>
        <v>Yes</v>
      </c>
      <c r="BC365" s="9" t="e">
        <f>IF(EFB!$N365=Table1[[#This Row],[ProgramTitle]],"Yes","No")</f>
        <v>#VALUE!</v>
      </c>
      <c r="BD365" s="9" t="e">
        <f>IF(EFB!$S365=Table1[[#This Row],[SeriesEpisodeTitle]],"Yes","No")</f>
        <v>#VALUE!</v>
      </c>
      <c r="BE365" s="11">
        <f t="shared" si="20"/>
        <v>0</v>
      </c>
      <c r="BF365" s="11">
        <f t="shared" si="21"/>
        <v>0</v>
      </c>
      <c r="BH365" s="21" t="e">
        <f>Table1[[#This Row],[StartTime]]+$BG$2</f>
        <v>#VALUE!</v>
      </c>
    </row>
    <row r="366" spans="3:60" x14ac:dyDescent="0.25">
      <c r="C366" s="35"/>
      <c r="G366" s="1"/>
      <c r="H366" s="1"/>
      <c r="I366" s="1"/>
      <c r="J366" s="1"/>
      <c r="K366" s="33"/>
      <c r="L366" s="22"/>
      <c r="M366" s="1"/>
      <c r="N366" s="1"/>
      <c r="O366" s="1"/>
      <c r="P366" s="1"/>
      <c r="Q366" s="1"/>
      <c r="R366" s="1"/>
      <c r="S366" s="1"/>
      <c r="BB366" s="9" t="str">
        <f t="shared" si="19"/>
        <v>Yes</v>
      </c>
      <c r="BC366" s="9" t="e">
        <f>IF(EFB!$N366=Table1[[#This Row],[ProgramTitle]],"Yes","No")</f>
        <v>#VALUE!</v>
      </c>
      <c r="BD366" s="9" t="e">
        <f>IF(EFB!$S366=Table1[[#This Row],[SeriesEpisodeTitle]],"Yes","No")</f>
        <v>#VALUE!</v>
      </c>
      <c r="BE366" s="11">
        <f t="shared" si="20"/>
        <v>0</v>
      </c>
      <c r="BF366" s="11">
        <f t="shared" si="21"/>
        <v>0</v>
      </c>
      <c r="BH366" s="21" t="e">
        <f>Table1[[#This Row],[StartTime]]+$BG$2</f>
        <v>#VALUE!</v>
      </c>
    </row>
    <row r="367" spans="3:60" x14ac:dyDescent="0.25">
      <c r="C367" s="35"/>
      <c r="G367" s="1"/>
      <c r="H367" s="1"/>
      <c r="I367" s="1"/>
      <c r="J367" s="1"/>
      <c r="K367" s="33"/>
      <c r="L367" s="22"/>
      <c r="M367" s="1"/>
      <c r="N367" s="1"/>
      <c r="O367" s="1"/>
      <c r="P367" s="1"/>
      <c r="Q367" s="1"/>
      <c r="R367" s="1"/>
      <c r="S367" s="1"/>
      <c r="BB367" s="9" t="str">
        <f t="shared" ref="BB367:BB430" si="22">IF(BE367=BF367,"Yes","No")</f>
        <v>Yes</v>
      </c>
      <c r="BC367" s="9" t="e">
        <f>IF(EFB!$N367=Table1[[#This Row],[ProgramTitle]],"Yes","No")</f>
        <v>#VALUE!</v>
      </c>
      <c r="BD367" s="9" t="e">
        <f>IF(EFB!$S367=Table1[[#This Row],[SeriesEpisodeTitle]],"Yes","No")</f>
        <v>#VALUE!</v>
      </c>
      <c r="BE367" s="11">
        <f t="shared" ref="BE367:BE430" si="23">TIME(HOUR(C367),MINUTE(C367),SECOND(0))</f>
        <v>0</v>
      </c>
      <c r="BF367" s="11">
        <f t="shared" ref="BF367:BF430" si="24">TIME(HOUR(L367),MINUTE(L367),SECOND(0))</f>
        <v>0</v>
      </c>
      <c r="BH367" s="21" t="e">
        <f>Table1[[#This Row],[StartTime]]+$BG$2</f>
        <v>#VALUE!</v>
      </c>
    </row>
    <row r="368" spans="3:60" x14ac:dyDescent="0.25">
      <c r="C368" s="35"/>
      <c r="G368" s="1"/>
      <c r="H368" s="1"/>
      <c r="I368" s="1"/>
      <c r="J368" s="1"/>
      <c r="K368" s="33"/>
      <c r="L368" s="22"/>
      <c r="M368" s="1"/>
      <c r="N368" s="1"/>
      <c r="O368" s="1"/>
      <c r="P368" s="1"/>
      <c r="Q368" s="1"/>
      <c r="R368" s="1"/>
      <c r="S368" s="1"/>
      <c r="BB368" s="9" t="str">
        <f t="shared" si="22"/>
        <v>Yes</v>
      </c>
      <c r="BC368" s="9" t="e">
        <f>IF(EFB!$N368=Table1[[#This Row],[ProgramTitle]],"Yes","No")</f>
        <v>#VALUE!</v>
      </c>
      <c r="BD368" s="9" t="e">
        <f>IF(EFB!$S368=Table1[[#This Row],[SeriesEpisodeTitle]],"Yes","No")</f>
        <v>#VALUE!</v>
      </c>
      <c r="BE368" s="11">
        <f t="shared" si="23"/>
        <v>0</v>
      </c>
      <c r="BF368" s="11">
        <f t="shared" si="24"/>
        <v>0</v>
      </c>
      <c r="BH368" s="21" t="e">
        <f>Table1[[#This Row],[StartTime]]+$BG$2</f>
        <v>#VALUE!</v>
      </c>
    </row>
    <row r="369" spans="3:60" x14ac:dyDescent="0.25">
      <c r="C369" s="35"/>
      <c r="G369" s="1"/>
      <c r="H369" s="1"/>
      <c r="I369" s="1"/>
      <c r="J369" s="1"/>
      <c r="K369" s="33"/>
      <c r="L369" s="22"/>
      <c r="M369" s="1"/>
      <c r="N369" s="1"/>
      <c r="O369" s="1"/>
      <c r="P369" s="1"/>
      <c r="Q369" s="1"/>
      <c r="R369" s="1"/>
      <c r="S369" s="1"/>
      <c r="BB369" s="9" t="str">
        <f t="shared" si="22"/>
        <v>Yes</v>
      </c>
      <c r="BC369" s="9" t="e">
        <f>IF(EFB!$N369=Table1[[#This Row],[ProgramTitle]],"Yes","No")</f>
        <v>#VALUE!</v>
      </c>
      <c r="BD369" s="9" t="e">
        <f>IF(EFB!$S369=Table1[[#This Row],[SeriesEpisodeTitle]],"Yes","No")</f>
        <v>#VALUE!</v>
      </c>
      <c r="BE369" s="11">
        <f t="shared" si="23"/>
        <v>0</v>
      </c>
      <c r="BF369" s="11">
        <f t="shared" si="24"/>
        <v>0</v>
      </c>
      <c r="BH369" s="21" t="e">
        <f>Table1[[#This Row],[StartTime]]+$BG$2</f>
        <v>#VALUE!</v>
      </c>
    </row>
    <row r="370" spans="3:60" x14ac:dyDescent="0.25">
      <c r="C370" s="35"/>
      <c r="G370" s="1"/>
      <c r="H370" s="1"/>
      <c r="I370" s="1"/>
      <c r="J370" s="1"/>
      <c r="K370" s="33"/>
      <c r="L370" s="22"/>
      <c r="M370" s="1"/>
      <c r="N370" s="1"/>
      <c r="O370" s="1"/>
      <c r="P370" s="1"/>
      <c r="Q370" s="1"/>
      <c r="R370" s="1"/>
      <c r="S370" s="1"/>
      <c r="BB370" s="9" t="str">
        <f t="shared" si="22"/>
        <v>Yes</v>
      </c>
      <c r="BC370" s="9" t="e">
        <f>IF(EFB!$N370=Table1[[#This Row],[ProgramTitle]],"Yes","No")</f>
        <v>#VALUE!</v>
      </c>
      <c r="BD370" s="9" t="e">
        <f>IF(EFB!$S370=Table1[[#This Row],[SeriesEpisodeTitle]],"Yes","No")</f>
        <v>#VALUE!</v>
      </c>
      <c r="BE370" s="11">
        <f t="shared" si="23"/>
        <v>0</v>
      </c>
      <c r="BF370" s="11">
        <f t="shared" si="24"/>
        <v>0</v>
      </c>
      <c r="BH370" s="21" t="e">
        <f>Table1[[#This Row],[StartTime]]+$BG$2</f>
        <v>#VALUE!</v>
      </c>
    </row>
    <row r="371" spans="3:60" x14ac:dyDescent="0.25">
      <c r="C371" s="35"/>
      <c r="G371" s="1"/>
      <c r="H371" s="1"/>
      <c r="I371" s="1"/>
      <c r="J371" s="1"/>
      <c r="K371" s="33"/>
      <c r="L371" s="22"/>
      <c r="M371" s="1"/>
      <c r="N371" s="1"/>
      <c r="O371" s="1"/>
      <c r="P371" s="1"/>
      <c r="Q371" s="1"/>
      <c r="R371" s="1"/>
      <c r="S371" s="1"/>
      <c r="BB371" s="9" t="str">
        <f t="shared" si="22"/>
        <v>Yes</v>
      </c>
      <c r="BC371" s="9" t="e">
        <f>IF(EFB!$N371=Table1[[#This Row],[ProgramTitle]],"Yes","No")</f>
        <v>#VALUE!</v>
      </c>
      <c r="BD371" s="9" t="e">
        <f>IF(EFB!$S371=Table1[[#This Row],[SeriesEpisodeTitle]],"Yes","No")</f>
        <v>#VALUE!</v>
      </c>
      <c r="BE371" s="11">
        <f t="shared" si="23"/>
        <v>0</v>
      </c>
      <c r="BF371" s="11">
        <f t="shared" si="24"/>
        <v>0</v>
      </c>
      <c r="BH371" s="21" t="e">
        <f>Table1[[#This Row],[StartTime]]+$BG$2</f>
        <v>#VALUE!</v>
      </c>
    </row>
    <row r="372" spans="3:60" x14ac:dyDescent="0.25">
      <c r="C372" s="35"/>
      <c r="G372" s="1"/>
      <c r="H372" s="1"/>
      <c r="I372" s="1"/>
      <c r="J372" s="1"/>
      <c r="K372" s="33"/>
      <c r="L372" s="22"/>
      <c r="M372" s="1"/>
      <c r="N372" s="1"/>
      <c r="O372" s="1"/>
      <c r="P372" s="1"/>
      <c r="Q372" s="1"/>
      <c r="R372" s="1"/>
      <c r="S372" s="1"/>
      <c r="BB372" s="9" t="str">
        <f t="shared" si="22"/>
        <v>Yes</v>
      </c>
      <c r="BC372" s="9" t="e">
        <f>IF(EFB!$N372=Table1[[#This Row],[ProgramTitle]],"Yes","No")</f>
        <v>#VALUE!</v>
      </c>
      <c r="BD372" s="9" t="e">
        <f>IF(EFB!$S372=Table1[[#This Row],[SeriesEpisodeTitle]],"Yes","No")</f>
        <v>#VALUE!</v>
      </c>
      <c r="BE372" s="11">
        <f t="shared" si="23"/>
        <v>0</v>
      </c>
      <c r="BF372" s="11">
        <f t="shared" si="24"/>
        <v>0</v>
      </c>
      <c r="BH372" s="21" t="e">
        <f>Table1[[#This Row],[StartTime]]+$BG$2</f>
        <v>#VALUE!</v>
      </c>
    </row>
    <row r="373" spans="3:60" x14ac:dyDescent="0.25">
      <c r="C373" s="35"/>
      <c r="G373" s="1"/>
      <c r="H373" s="1"/>
      <c r="I373" s="1"/>
      <c r="J373" s="1"/>
      <c r="K373" s="33"/>
      <c r="L373" s="22"/>
      <c r="M373" s="1"/>
      <c r="N373" s="1"/>
      <c r="O373" s="1"/>
      <c r="P373" s="1"/>
      <c r="Q373" s="1"/>
      <c r="R373" s="1"/>
      <c r="S373" s="1"/>
      <c r="BB373" s="9" t="str">
        <f t="shared" si="22"/>
        <v>Yes</v>
      </c>
      <c r="BC373" s="9" t="e">
        <f>IF(EFB!$N373=Table1[[#This Row],[ProgramTitle]],"Yes","No")</f>
        <v>#VALUE!</v>
      </c>
      <c r="BD373" s="9" t="e">
        <f>IF(EFB!$S373=Table1[[#This Row],[SeriesEpisodeTitle]],"Yes","No")</f>
        <v>#VALUE!</v>
      </c>
      <c r="BE373" s="11">
        <f t="shared" si="23"/>
        <v>0</v>
      </c>
      <c r="BF373" s="11">
        <f t="shared" si="24"/>
        <v>0</v>
      </c>
      <c r="BH373" s="21" t="e">
        <f>Table1[[#This Row],[StartTime]]+$BG$2</f>
        <v>#VALUE!</v>
      </c>
    </row>
    <row r="374" spans="3:60" x14ac:dyDescent="0.25">
      <c r="C374" s="35"/>
      <c r="G374" s="1"/>
      <c r="H374" s="1"/>
      <c r="I374" s="1"/>
      <c r="J374" s="1"/>
      <c r="K374" s="33"/>
      <c r="L374" s="22"/>
      <c r="M374" s="1"/>
      <c r="N374" s="1"/>
      <c r="O374" s="1"/>
      <c r="P374" s="1"/>
      <c r="Q374" s="1"/>
      <c r="R374" s="1"/>
      <c r="S374" s="1"/>
      <c r="BB374" s="9" t="str">
        <f t="shared" si="22"/>
        <v>Yes</v>
      </c>
      <c r="BC374" s="9" t="e">
        <f>IF(EFB!$N374=Table1[[#This Row],[ProgramTitle]],"Yes","No")</f>
        <v>#VALUE!</v>
      </c>
      <c r="BD374" s="9" t="e">
        <f>IF(EFB!$S374=Table1[[#This Row],[SeriesEpisodeTitle]],"Yes","No")</f>
        <v>#VALUE!</v>
      </c>
      <c r="BE374" s="11">
        <f t="shared" si="23"/>
        <v>0</v>
      </c>
      <c r="BF374" s="11">
        <f t="shared" si="24"/>
        <v>0</v>
      </c>
      <c r="BH374" s="21" t="e">
        <f>Table1[[#This Row],[StartTime]]+$BG$2</f>
        <v>#VALUE!</v>
      </c>
    </row>
    <row r="375" spans="3:60" x14ac:dyDescent="0.25">
      <c r="C375" s="35"/>
      <c r="G375" s="1"/>
      <c r="H375" s="1"/>
      <c r="I375" s="1"/>
      <c r="J375" s="1"/>
      <c r="K375" s="33"/>
      <c r="L375" s="22"/>
      <c r="M375" s="1"/>
      <c r="N375" s="1"/>
      <c r="O375" s="1"/>
      <c r="P375" s="1"/>
      <c r="Q375" s="1"/>
      <c r="R375" s="1"/>
      <c r="S375" s="1"/>
      <c r="BB375" s="9" t="str">
        <f t="shared" si="22"/>
        <v>Yes</v>
      </c>
      <c r="BC375" s="9" t="e">
        <f>IF(EFB!$N375=Table1[[#This Row],[ProgramTitle]],"Yes","No")</f>
        <v>#VALUE!</v>
      </c>
      <c r="BD375" s="9" t="e">
        <f>IF(EFB!$S375=Table1[[#This Row],[SeriesEpisodeTitle]],"Yes","No")</f>
        <v>#VALUE!</v>
      </c>
      <c r="BE375" s="11">
        <f t="shared" si="23"/>
        <v>0</v>
      </c>
      <c r="BF375" s="11">
        <f t="shared" si="24"/>
        <v>0</v>
      </c>
      <c r="BH375" s="21" t="e">
        <f>Table1[[#This Row],[StartTime]]+$BG$2</f>
        <v>#VALUE!</v>
      </c>
    </row>
    <row r="376" spans="3:60" x14ac:dyDescent="0.25">
      <c r="C376" s="35"/>
      <c r="G376" s="1"/>
      <c r="H376" s="1"/>
      <c r="I376" s="1"/>
      <c r="J376" s="1"/>
      <c r="K376" s="33"/>
      <c r="L376" s="22"/>
      <c r="M376" s="1"/>
      <c r="N376" s="1"/>
      <c r="O376" s="1"/>
      <c r="P376" s="1"/>
      <c r="Q376" s="1"/>
      <c r="R376" s="1"/>
      <c r="S376" s="1"/>
      <c r="BB376" s="9" t="str">
        <f t="shared" si="22"/>
        <v>Yes</v>
      </c>
      <c r="BC376" s="9" t="e">
        <f>IF(EFB!$N376=Table1[[#This Row],[ProgramTitle]],"Yes","No")</f>
        <v>#VALUE!</v>
      </c>
      <c r="BD376" s="9" t="e">
        <f>IF(EFB!$S376=Table1[[#This Row],[SeriesEpisodeTitle]],"Yes","No")</f>
        <v>#VALUE!</v>
      </c>
      <c r="BE376" s="11">
        <f t="shared" si="23"/>
        <v>0</v>
      </c>
      <c r="BF376" s="11">
        <f t="shared" si="24"/>
        <v>0</v>
      </c>
      <c r="BH376" s="21" t="e">
        <f>Table1[[#This Row],[StartTime]]+$BG$2</f>
        <v>#VALUE!</v>
      </c>
    </row>
    <row r="377" spans="3:60" x14ac:dyDescent="0.25">
      <c r="C377" s="35"/>
      <c r="G377" s="1"/>
      <c r="H377" s="1"/>
      <c r="I377" s="1"/>
      <c r="J377" s="1"/>
      <c r="K377" s="33"/>
      <c r="L377" s="22"/>
      <c r="M377" s="1"/>
      <c r="N377" s="1"/>
      <c r="O377" s="1"/>
      <c r="P377" s="1"/>
      <c r="Q377" s="1"/>
      <c r="R377" s="1"/>
      <c r="S377" s="1"/>
      <c r="BB377" s="9" t="str">
        <f t="shared" si="22"/>
        <v>Yes</v>
      </c>
      <c r="BC377" s="9" t="e">
        <f>IF(EFB!$N377=Table1[[#This Row],[ProgramTitle]],"Yes","No")</f>
        <v>#VALUE!</v>
      </c>
      <c r="BD377" s="9" t="e">
        <f>IF(EFB!$S377=Table1[[#This Row],[SeriesEpisodeTitle]],"Yes","No")</f>
        <v>#VALUE!</v>
      </c>
      <c r="BE377" s="11">
        <f t="shared" si="23"/>
        <v>0</v>
      </c>
      <c r="BF377" s="11">
        <f t="shared" si="24"/>
        <v>0</v>
      </c>
      <c r="BH377" s="21" t="e">
        <f>Table1[[#This Row],[StartTime]]+$BG$2</f>
        <v>#VALUE!</v>
      </c>
    </row>
    <row r="378" spans="3:60" x14ac:dyDescent="0.25">
      <c r="C378" s="35"/>
      <c r="G378" s="1"/>
      <c r="H378" s="1"/>
      <c r="I378" s="1"/>
      <c r="J378" s="1"/>
      <c r="K378" s="33"/>
      <c r="L378" s="22"/>
      <c r="M378" s="1"/>
      <c r="N378" s="1"/>
      <c r="O378" s="1"/>
      <c r="P378" s="1"/>
      <c r="Q378" s="1"/>
      <c r="R378" s="1"/>
      <c r="S378" s="1"/>
      <c r="BB378" s="9" t="str">
        <f t="shared" si="22"/>
        <v>Yes</v>
      </c>
      <c r="BC378" s="9" t="e">
        <f>IF(EFB!$N378=Table1[[#This Row],[ProgramTitle]],"Yes","No")</f>
        <v>#VALUE!</v>
      </c>
      <c r="BD378" s="9" t="e">
        <f>IF(EFB!$S378=Table1[[#This Row],[SeriesEpisodeTitle]],"Yes","No")</f>
        <v>#VALUE!</v>
      </c>
      <c r="BE378" s="11">
        <f t="shared" si="23"/>
        <v>0</v>
      </c>
      <c r="BF378" s="11">
        <f t="shared" si="24"/>
        <v>0</v>
      </c>
      <c r="BH378" s="21" t="e">
        <f>Table1[[#This Row],[StartTime]]+$BG$2</f>
        <v>#VALUE!</v>
      </c>
    </row>
    <row r="379" spans="3:60" x14ac:dyDescent="0.25">
      <c r="C379" s="35"/>
      <c r="G379" s="1"/>
      <c r="H379" s="1"/>
      <c r="I379" s="1"/>
      <c r="J379" s="1"/>
      <c r="K379" s="33"/>
      <c r="L379" s="22"/>
      <c r="M379" s="1"/>
      <c r="N379" s="1"/>
      <c r="O379" s="1"/>
      <c r="P379" s="1"/>
      <c r="Q379" s="1"/>
      <c r="R379" s="1"/>
      <c r="S379" s="1"/>
      <c r="BB379" s="9" t="str">
        <f t="shared" si="22"/>
        <v>Yes</v>
      </c>
      <c r="BC379" s="9" t="e">
        <f>IF(EFB!$N379=Table1[[#This Row],[ProgramTitle]],"Yes","No")</f>
        <v>#VALUE!</v>
      </c>
      <c r="BD379" s="9" t="e">
        <f>IF(EFB!$S379=Table1[[#This Row],[SeriesEpisodeTitle]],"Yes","No")</f>
        <v>#VALUE!</v>
      </c>
      <c r="BE379" s="11">
        <f t="shared" si="23"/>
        <v>0</v>
      </c>
      <c r="BF379" s="11">
        <f t="shared" si="24"/>
        <v>0</v>
      </c>
      <c r="BH379" s="21" t="e">
        <f>Table1[[#This Row],[StartTime]]+$BG$2</f>
        <v>#VALUE!</v>
      </c>
    </row>
    <row r="380" spans="3:60" x14ac:dyDescent="0.25">
      <c r="C380" s="35"/>
      <c r="G380" s="1"/>
      <c r="H380" s="1"/>
      <c r="I380" s="1"/>
      <c r="J380" s="1"/>
      <c r="K380" s="33"/>
      <c r="L380" s="22"/>
      <c r="M380" s="1"/>
      <c r="N380" s="1"/>
      <c r="O380" s="1"/>
      <c r="P380" s="1"/>
      <c r="Q380" s="1"/>
      <c r="R380" s="1"/>
      <c r="S380" s="1"/>
      <c r="BB380" s="9" t="str">
        <f t="shared" si="22"/>
        <v>Yes</v>
      </c>
      <c r="BC380" s="9" t="e">
        <f>IF(EFB!$N380=Table1[[#This Row],[ProgramTitle]],"Yes","No")</f>
        <v>#VALUE!</v>
      </c>
      <c r="BD380" s="9" t="e">
        <f>IF(EFB!$S380=Table1[[#This Row],[SeriesEpisodeTitle]],"Yes","No")</f>
        <v>#VALUE!</v>
      </c>
      <c r="BE380" s="11">
        <f t="shared" si="23"/>
        <v>0</v>
      </c>
      <c r="BF380" s="11">
        <f t="shared" si="24"/>
        <v>0</v>
      </c>
      <c r="BH380" s="21" t="e">
        <f>Table1[[#This Row],[StartTime]]+$BG$2</f>
        <v>#VALUE!</v>
      </c>
    </row>
    <row r="381" spans="3:60" x14ac:dyDescent="0.25">
      <c r="C381" s="35"/>
      <c r="G381" s="1"/>
      <c r="H381" s="1"/>
      <c r="I381" s="1"/>
      <c r="J381" s="1"/>
      <c r="K381" s="33"/>
      <c r="L381" s="22"/>
      <c r="M381" s="1"/>
      <c r="N381" s="1"/>
      <c r="O381" s="1"/>
      <c r="P381" s="1"/>
      <c r="Q381" s="1"/>
      <c r="R381" s="1"/>
      <c r="S381" s="1"/>
      <c r="BB381" s="9" t="str">
        <f t="shared" si="22"/>
        <v>Yes</v>
      </c>
      <c r="BC381" s="9" t="e">
        <f>IF(EFB!$N381=Table1[[#This Row],[ProgramTitle]],"Yes","No")</f>
        <v>#VALUE!</v>
      </c>
      <c r="BD381" s="9" t="e">
        <f>IF(EFB!$S381=Table1[[#This Row],[SeriesEpisodeTitle]],"Yes","No")</f>
        <v>#VALUE!</v>
      </c>
      <c r="BE381" s="11">
        <f t="shared" si="23"/>
        <v>0</v>
      </c>
      <c r="BF381" s="11">
        <f t="shared" si="24"/>
        <v>0</v>
      </c>
      <c r="BH381" s="21" t="e">
        <f>Table1[[#This Row],[StartTime]]+$BG$2</f>
        <v>#VALUE!</v>
      </c>
    </row>
    <row r="382" spans="3:60" x14ac:dyDescent="0.25">
      <c r="C382" s="35"/>
      <c r="G382" s="1"/>
      <c r="H382" s="1"/>
      <c r="I382" s="1"/>
      <c r="J382" s="1"/>
      <c r="K382" s="33"/>
      <c r="L382" s="22"/>
      <c r="M382" s="1"/>
      <c r="N382" s="1"/>
      <c r="O382" s="1"/>
      <c r="P382" s="1"/>
      <c r="Q382" s="1"/>
      <c r="R382" s="1"/>
      <c r="S382" s="1"/>
      <c r="BB382" s="9" t="str">
        <f t="shared" si="22"/>
        <v>Yes</v>
      </c>
      <c r="BC382" s="9" t="e">
        <f>IF(EFB!$N382=Table1[[#This Row],[ProgramTitle]],"Yes","No")</f>
        <v>#VALUE!</v>
      </c>
      <c r="BD382" s="9" t="e">
        <f>IF(EFB!$S382=Table1[[#This Row],[SeriesEpisodeTitle]],"Yes","No")</f>
        <v>#VALUE!</v>
      </c>
      <c r="BE382" s="11">
        <f t="shared" si="23"/>
        <v>0</v>
      </c>
      <c r="BF382" s="11">
        <f t="shared" si="24"/>
        <v>0</v>
      </c>
      <c r="BH382" s="21" t="e">
        <f>Table1[[#This Row],[StartTime]]+$BG$2</f>
        <v>#VALUE!</v>
      </c>
    </row>
    <row r="383" spans="3:60" x14ac:dyDescent="0.25">
      <c r="C383" s="35"/>
      <c r="G383" s="1"/>
      <c r="H383" s="1"/>
      <c r="I383" s="1"/>
      <c r="J383" s="1"/>
      <c r="K383" s="33"/>
      <c r="L383" s="22"/>
      <c r="M383" s="1"/>
      <c r="N383" s="1"/>
      <c r="O383" s="1"/>
      <c r="P383" s="1"/>
      <c r="Q383" s="1"/>
      <c r="R383" s="1"/>
      <c r="S383" s="1"/>
      <c r="BB383" s="9" t="str">
        <f t="shared" si="22"/>
        <v>Yes</v>
      </c>
      <c r="BC383" s="9" t="e">
        <f>IF(EFB!$N383=Table1[[#This Row],[ProgramTitle]],"Yes","No")</f>
        <v>#VALUE!</v>
      </c>
      <c r="BD383" s="9" t="e">
        <f>IF(EFB!$S383=Table1[[#This Row],[SeriesEpisodeTitle]],"Yes","No")</f>
        <v>#VALUE!</v>
      </c>
      <c r="BE383" s="11">
        <f t="shared" si="23"/>
        <v>0</v>
      </c>
      <c r="BF383" s="11">
        <f t="shared" si="24"/>
        <v>0</v>
      </c>
      <c r="BH383" s="21" t="e">
        <f>Table1[[#This Row],[StartTime]]+$BG$2</f>
        <v>#VALUE!</v>
      </c>
    </row>
    <row r="384" spans="3:60" x14ac:dyDescent="0.25">
      <c r="C384" s="35"/>
      <c r="G384" s="1"/>
      <c r="H384" s="1"/>
      <c r="I384" s="1"/>
      <c r="J384" s="1"/>
      <c r="K384" s="33"/>
      <c r="L384" s="22"/>
      <c r="M384" s="1"/>
      <c r="N384" s="1"/>
      <c r="O384" s="1"/>
      <c r="P384" s="1"/>
      <c r="Q384" s="1"/>
      <c r="R384" s="1"/>
      <c r="S384" s="1"/>
      <c r="BB384" s="9" t="str">
        <f t="shared" si="22"/>
        <v>Yes</v>
      </c>
      <c r="BC384" s="9" t="e">
        <f>IF(EFB!$N384=Table1[[#This Row],[ProgramTitle]],"Yes","No")</f>
        <v>#VALUE!</v>
      </c>
      <c r="BD384" s="9" t="e">
        <f>IF(EFB!$S384=Table1[[#This Row],[SeriesEpisodeTitle]],"Yes","No")</f>
        <v>#VALUE!</v>
      </c>
      <c r="BE384" s="11">
        <f t="shared" si="23"/>
        <v>0</v>
      </c>
      <c r="BF384" s="11">
        <f t="shared" si="24"/>
        <v>0</v>
      </c>
      <c r="BH384" s="21" t="e">
        <f>Table1[[#This Row],[StartTime]]+$BG$2</f>
        <v>#VALUE!</v>
      </c>
    </row>
    <row r="385" spans="3:60" x14ac:dyDescent="0.25">
      <c r="C385" s="35"/>
      <c r="G385" s="1"/>
      <c r="H385" s="1"/>
      <c r="I385" s="1"/>
      <c r="J385" s="1"/>
      <c r="K385" s="33"/>
      <c r="L385" s="22"/>
      <c r="M385" s="1"/>
      <c r="N385" s="1"/>
      <c r="O385" s="1"/>
      <c r="P385" s="1"/>
      <c r="Q385" s="1"/>
      <c r="R385" s="1"/>
      <c r="S385" s="1"/>
      <c r="BB385" s="9" t="str">
        <f t="shared" si="22"/>
        <v>Yes</v>
      </c>
      <c r="BC385" s="9" t="e">
        <f>IF(EFB!$N385=Table1[[#This Row],[ProgramTitle]],"Yes","No")</f>
        <v>#VALUE!</v>
      </c>
      <c r="BD385" s="9" t="e">
        <f>IF(EFB!$S385=Table1[[#This Row],[SeriesEpisodeTitle]],"Yes","No")</f>
        <v>#VALUE!</v>
      </c>
      <c r="BE385" s="11">
        <f t="shared" si="23"/>
        <v>0</v>
      </c>
      <c r="BF385" s="11">
        <f t="shared" si="24"/>
        <v>0</v>
      </c>
      <c r="BH385" s="21" t="e">
        <f>Table1[[#This Row],[StartTime]]+$BG$2</f>
        <v>#VALUE!</v>
      </c>
    </row>
    <row r="386" spans="3:60" x14ac:dyDescent="0.25">
      <c r="C386" s="35"/>
      <c r="G386" s="1"/>
      <c r="H386" s="1"/>
      <c r="I386" s="1"/>
      <c r="J386" s="1"/>
      <c r="K386" s="33"/>
      <c r="L386" s="22"/>
      <c r="M386" s="1"/>
      <c r="N386" s="1"/>
      <c r="O386" s="1"/>
      <c r="P386" s="1"/>
      <c r="Q386" s="1"/>
      <c r="R386" s="1"/>
      <c r="S386" s="1"/>
      <c r="BB386" s="9" t="str">
        <f t="shared" si="22"/>
        <v>Yes</v>
      </c>
      <c r="BC386" s="9" t="e">
        <f>IF(EFB!$N386=Table1[[#This Row],[ProgramTitle]],"Yes","No")</f>
        <v>#VALUE!</v>
      </c>
      <c r="BD386" s="9" t="e">
        <f>IF(EFB!$S386=Table1[[#This Row],[SeriesEpisodeTitle]],"Yes","No")</f>
        <v>#VALUE!</v>
      </c>
      <c r="BE386" s="11">
        <f t="shared" si="23"/>
        <v>0</v>
      </c>
      <c r="BF386" s="11">
        <f t="shared" si="24"/>
        <v>0</v>
      </c>
      <c r="BH386" s="21" t="e">
        <f>Table1[[#This Row],[StartTime]]+$BG$2</f>
        <v>#VALUE!</v>
      </c>
    </row>
    <row r="387" spans="3:60" x14ac:dyDescent="0.25">
      <c r="C387" s="35"/>
      <c r="G387" s="1"/>
      <c r="H387" s="1"/>
      <c r="I387" s="1"/>
      <c r="J387" s="1"/>
      <c r="K387" s="33"/>
      <c r="L387" s="22"/>
      <c r="M387" s="1"/>
      <c r="N387" s="1"/>
      <c r="O387" s="1"/>
      <c r="P387" s="1"/>
      <c r="Q387" s="1"/>
      <c r="R387" s="1"/>
      <c r="S387" s="1"/>
      <c r="BB387" s="9" t="str">
        <f t="shared" si="22"/>
        <v>Yes</v>
      </c>
      <c r="BC387" s="9" t="e">
        <f>IF(EFB!$N387=Table1[[#This Row],[ProgramTitle]],"Yes","No")</f>
        <v>#VALUE!</v>
      </c>
      <c r="BD387" s="9" t="e">
        <f>IF(EFB!$S387=Table1[[#This Row],[SeriesEpisodeTitle]],"Yes","No")</f>
        <v>#VALUE!</v>
      </c>
      <c r="BE387" s="11">
        <f t="shared" si="23"/>
        <v>0</v>
      </c>
      <c r="BF387" s="11">
        <f t="shared" si="24"/>
        <v>0</v>
      </c>
      <c r="BH387" s="21" t="e">
        <f>Table1[[#This Row],[StartTime]]+$BG$2</f>
        <v>#VALUE!</v>
      </c>
    </row>
    <row r="388" spans="3:60" x14ac:dyDescent="0.25">
      <c r="C388" s="35"/>
      <c r="G388" s="1"/>
      <c r="H388" s="1"/>
      <c r="I388" s="1"/>
      <c r="J388" s="1"/>
      <c r="K388" s="33"/>
      <c r="L388" s="22"/>
      <c r="M388" s="1"/>
      <c r="N388" s="1"/>
      <c r="O388" s="1"/>
      <c r="P388" s="1"/>
      <c r="Q388" s="1"/>
      <c r="R388" s="1"/>
      <c r="S388" s="1"/>
      <c r="BB388" s="9" t="str">
        <f t="shared" si="22"/>
        <v>Yes</v>
      </c>
      <c r="BC388" s="9" t="e">
        <f>IF(EFB!$N388=Table1[[#This Row],[ProgramTitle]],"Yes","No")</f>
        <v>#VALUE!</v>
      </c>
      <c r="BD388" s="9" t="e">
        <f>IF(EFB!$S388=Table1[[#This Row],[SeriesEpisodeTitle]],"Yes","No")</f>
        <v>#VALUE!</v>
      </c>
      <c r="BE388" s="11">
        <f t="shared" si="23"/>
        <v>0</v>
      </c>
      <c r="BF388" s="11">
        <f t="shared" si="24"/>
        <v>0</v>
      </c>
      <c r="BH388" s="21" t="e">
        <f>Table1[[#This Row],[StartTime]]+$BG$2</f>
        <v>#VALUE!</v>
      </c>
    </row>
    <row r="389" spans="3:60" x14ac:dyDescent="0.25">
      <c r="C389" s="35"/>
      <c r="G389" s="1"/>
      <c r="H389" s="1"/>
      <c r="I389" s="1"/>
      <c r="J389" s="1"/>
      <c r="K389" s="33"/>
      <c r="L389" s="22"/>
      <c r="M389" s="1"/>
      <c r="N389" s="1"/>
      <c r="O389" s="1"/>
      <c r="P389" s="1"/>
      <c r="Q389" s="1"/>
      <c r="R389" s="1"/>
      <c r="S389" s="1"/>
      <c r="BB389" s="9" t="str">
        <f t="shared" si="22"/>
        <v>Yes</v>
      </c>
      <c r="BC389" s="9" t="e">
        <f>IF(EFB!$N389=Table1[[#This Row],[ProgramTitle]],"Yes","No")</f>
        <v>#VALUE!</v>
      </c>
      <c r="BD389" s="9" t="e">
        <f>IF(EFB!$S389=Table1[[#This Row],[SeriesEpisodeTitle]],"Yes","No")</f>
        <v>#VALUE!</v>
      </c>
      <c r="BE389" s="11">
        <f t="shared" si="23"/>
        <v>0</v>
      </c>
      <c r="BF389" s="11">
        <f t="shared" si="24"/>
        <v>0</v>
      </c>
      <c r="BH389" s="21" t="e">
        <f>Table1[[#This Row],[StartTime]]+$BG$2</f>
        <v>#VALUE!</v>
      </c>
    </row>
    <row r="390" spans="3:60" x14ac:dyDescent="0.25">
      <c r="C390" s="35"/>
      <c r="G390" s="1"/>
      <c r="H390" s="1"/>
      <c r="I390" s="1"/>
      <c r="J390" s="1"/>
      <c r="K390" s="33"/>
      <c r="L390" s="22"/>
      <c r="M390" s="1"/>
      <c r="N390" s="1"/>
      <c r="O390" s="1"/>
      <c r="P390" s="1"/>
      <c r="Q390" s="1"/>
      <c r="R390" s="1"/>
      <c r="S390" s="1"/>
      <c r="BB390" s="9" t="str">
        <f t="shared" si="22"/>
        <v>Yes</v>
      </c>
      <c r="BC390" s="9" t="e">
        <f>IF(EFB!$N390=Table1[[#This Row],[ProgramTitle]],"Yes","No")</f>
        <v>#VALUE!</v>
      </c>
      <c r="BD390" s="9" t="e">
        <f>IF(EFB!$S390=Table1[[#This Row],[SeriesEpisodeTitle]],"Yes","No")</f>
        <v>#VALUE!</v>
      </c>
      <c r="BE390" s="11">
        <f t="shared" si="23"/>
        <v>0</v>
      </c>
      <c r="BF390" s="11">
        <f t="shared" si="24"/>
        <v>0</v>
      </c>
      <c r="BH390" s="21" t="e">
        <f>Table1[[#This Row],[StartTime]]+$BG$2</f>
        <v>#VALUE!</v>
      </c>
    </row>
    <row r="391" spans="3:60" x14ac:dyDescent="0.25">
      <c r="C391" s="35"/>
      <c r="G391" s="1"/>
      <c r="H391" s="1"/>
      <c r="I391" s="1"/>
      <c r="J391" s="1"/>
      <c r="K391" s="33"/>
      <c r="L391" s="22"/>
      <c r="M391" s="1"/>
      <c r="N391" s="1"/>
      <c r="O391" s="1"/>
      <c r="P391" s="1"/>
      <c r="Q391" s="1"/>
      <c r="R391" s="1"/>
      <c r="S391" s="1"/>
      <c r="BB391" s="9" t="str">
        <f t="shared" si="22"/>
        <v>Yes</v>
      </c>
      <c r="BC391" s="9" t="e">
        <f>IF(EFB!$N391=Table1[[#This Row],[ProgramTitle]],"Yes","No")</f>
        <v>#VALUE!</v>
      </c>
      <c r="BD391" s="9" t="e">
        <f>IF(EFB!$S391=Table1[[#This Row],[SeriesEpisodeTitle]],"Yes","No")</f>
        <v>#VALUE!</v>
      </c>
      <c r="BE391" s="11">
        <f t="shared" si="23"/>
        <v>0</v>
      </c>
      <c r="BF391" s="11">
        <f t="shared" si="24"/>
        <v>0</v>
      </c>
      <c r="BH391" s="21" t="e">
        <f>Table1[[#This Row],[StartTime]]+$BG$2</f>
        <v>#VALUE!</v>
      </c>
    </row>
    <row r="392" spans="3:60" x14ac:dyDescent="0.25">
      <c r="C392" s="35"/>
      <c r="G392" s="1"/>
      <c r="H392" s="1"/>
      <c r="I392" s="1"/>
      <c r="J392" s="1"/>
      <c r="K392" s="33"/>
      <c r="L392" s="22"/>
      <c r="M392" s="1"/>
      <c r="N392" s="1"/>
      <c r="O392" s="1"/>
      <c r="P392" s="1"/>
      <c r="Q392" s="1"/>
      <c r="R392" s="1"/>
      <c r="S392" s="1"/>
      <c r="BB392" s="9" t="str">
        <f t="shared" si="22"/>
        <v>Yes</v>
      </c>
      <c r="BC392" s="9" t="e">
        <f>IF(EFB!$N392=Table1[[#This Row],[ProgramTitle]],"Yes","No")</f>
        <v>#VALUE!</v>
      </c>
      <c r="BD392" s="9" t="e">
        <f>IF(EFB!$S392=Table1[[#This Row],[SeriesEpisodeTitle]],"Yes","No")</f>
        <v>#VALUE!</v>
      </c>
      <c r="BE392" s="11">
        <f t="shared" si="23"/>
        <v>0</v>
      </c>
      <c r="BF392" s="11">
        <f t="shared" si="24"/>
        <v>0</v>
      </c>
      <c r="BH392" s="21" t="e">
        <f>Table1[[#This Row],[StartTime]]+$BG$2</f>
        <v>#VALUE!</v>
      </c>
    </row>
    <row r="393" spans="3:60" x14ac:dyDescent="0.25">
      <c r="C393" s="35"/>
      <c r="G393" s="1"/>
      <c r="H393" s="1"/>
      <c r="I393" s="1"/>
      <c r="J393" s="1"/>
      <c r="K393" s="33"/>
      <c r="L393" s="22"/>
      <c r="M393" s="1"/>
      <c r="N393" s="1"/>
      <c r="O393" s="1"/>
      <c r="P393" s="1"/>
      <c r="Q393" s="1"/>
      <c r="R393" s="1"/>
      <c r="S393" s="1"/>
      <c r="BB393" s="9" t="str">
        <f t="shared" si="22"/>
        <v>Yes</v>
      </c>
      <c r="BC393" s="9" t="e">
        <f>IF(EFB!$N393=Table1[[#This Row],[ProgramTitle]],"Yes","No")</f>
        <v>#VALUE!</v>
      </c>
      <c r="BD393" s="9" t="e">
        <f>IF(EFB!$S393=Table1[[#This Row],[SeriesEpisodeTitle]],"Yes","No")</f>
        <v>#VALUE!</v>
      </c>
      <c r="BE393" s="11">
        <f t="shared" si="23"/>
        <v>0</v>
      </c>
      <c r="BF393" s="11">
        <f t="shared" si="24"/>
        <v>0</v>
      </c>
      <c r="BH393" s="21" t="e">
        <f>Table1[[#This Row],[StartTime]]+$BG$2</f>
        <v>#VALUE!</v>
      </c>
    </row>
    <row r="394" spans="3:60" x14ac:dyDescent="0.25">
      <c r="C394" s="35"/>
      <c r="G394" s="1"/>
      <c r="H394" s="1"/>
      <c r="I394" s="1"/>
      <c r="J394" s="1"/>
      <c r="K394" s="33"/>
      <c r="L394" s="22"/>
      <c r="M394" s="1"/>
      <c r="N394" s="1"/>
      <c r="O394" s="1"/>
      <c r="P394" s="1"/>
      <c r="Q394" s="1"/>
      <c r="R394" s="1"/>
      <c r="S394" s="1"/>
      <c r="BB394" s="9" t="str">
        <f t="shared" si="22"/>
        <v>Yes</v>
      </c>
      <c r="BC394" s="9" t="e">
        <f>IF(EFB!$N394=Table1[[#This Row],[ProgramTitle]],"Yes","No")</f>
        <v>#VALUE!</v>
      </c>
      <c r="BD394" s="9" t="e">
        <f>IF(EFB!$S394=Table1[[#This Row],[SeriesEpisodeTitle]],"Yes","No")</f>
        <v>#VALUE!</v>
      </c>
      <c r="BE394" s="11">
        <f t="shared" si="23"/>
        <v>0</v>
      </c>
      <c r="BF394" s="11">
        <f t="shared" si="24"/>
        <v>0</v>
      </c>
      <c r="BH394" s="21" t="e">
        <f>Table1[[#This Row],[StartTime]]+$BG$2</f>
        <v>#VALUE!</v>
      </c>
    </row>
    <row r="395" spans="3:60" x14ac:dyDescent="0.25">
      <c r="C395" s="35"/>
      <c r="G395" s="1"/>
      <c r="H395" s="1"/>
      <c r="I395" s="1"/>
      <c r="J395" s="1"/>
      <c r="K395" s="33"/>
      <c r="L395" s="22"/>
      <c r="M395" s="1"/>
      <c r="N395" s="1"/>
      <c r="O395" s="1"/>
      <c r="P395" s="1"/>
      <c r="Q395" s="1"/>
      <c r="R395" s="1"/>
      <c r="S395" s="1"/>
      <c r="BB395" s="9" t="str">
        <f t="shared" si="22"/>
        <v>Yes</v>
      </c>
      <c r="BC395" s="9" t="e">
        <f>IF(EFB!$N395=Table1[[#This Row],[ProgramTitle]],"Yes","No")</f>
        <v>#VALUE!</v>
      </c>
      <c r="BD395" s="9" t="e">
        <f>IF(EFB!$S395=Table1[[#This Row],[SeriesEpisodeTitle]],"Yes","No")</f>
        <v>#VALUE!</v>
      </c>
      <c r="BE395" s="11">
        <f t="shared" si="23"/>
        <v>0</v>
      </c>
      <c r="BF395" s="11">
        <f t="shared" si="24"/>
        <v>0</v>
      </c>
      <c r="BH395" s="21" t="e">
        <f>Table1[[#This Row],[StartTime]]+$BG$2</f>
        <v>#VALUE!</v>
      </c>
    </row>
    <row r="396" spans="3:60" x14ac:dyDescent="0.25">
      <c r="C396" s="35"/>
      <c r="G396" s="1"/>
      <c r="H396" s="1"/>
      <c r="I396" s="1"/>
      <c r="J396" s="1"/>
      <c r="K396" s="33"/>
      <c r="L396" s="22"/>
      <c r="M396" s="1"/>
      <c r="N396" s="1"/>
      <c r="O396" s="1"/>
      <c r="P396" s="1"/>
      <c r="Q396" s="1"/>
      <c r="R396" s="1"/>
      <c r="S396" s="1"/>
      <c r="BB396" s="9" t="str">
        <f t="shared" si="22"/>
        <v>Yes</v>
      </c>
      <c r="BC396" s="9" t="e">
        <f>IF(EFB!$N396=Table1[[#This Row],[ProgramTitle]],"Yes","No")</f>
        <v>#VALUE!</v>
      </c>
      <c r="BD396" s="9" t="e">
        <f>IF(EFB!$S396=Table1[[#This Row],[SeriesEpisodeTitle]],"Yes","No")</f>
        <v>#VALUE!</v>
      </c>
      <c r="BE396" s="11">
        <f t="shared" si="23"/>
        <v>0</v>
      </c>
      <c r="BF396" s="11">
        <f t="shared" si="24"/>
        <v>0</v>
      </c>
      <c r="BH396" s="21" t="e">
        <f>Table1[[#This Row],[StartTime]]+$BG$2</f>
        <v>#VALUE!</v>
      </c>
    </row>
    <row r="397" spans="3:60" x14ac:dyDescent="0.25">
      <c r="C397" s="35"/>
      <c r="G397" s="1"/>
      <c r="H397" s="1"/>
      <c r="I397" s="1"/>
      <c r="J397" s="1"/>
      <c r="K397" s="33"/>
      <c r="L397" s="22"/>
      <c r="M397" s="1"/>
      <c r="N397" s="1"/>
      <c r="O397" s="1"/>
      <c r="P397" s="1"/>
      <c r="Q397" s="1"/>
      <c r="R397" s="1"/>
      <c r="S397" s="1"/>
      <c r="BB397" s="9" t="str">
        <f t="shared" si="22"/>
        <v>Yes</v>
      </c>
      <c r="BC397" s="9" t="e">
        <f>IF(EFB!$N397=Table1[[#This Row],[ProgramTitle]],"Yes","No")</f>
        <v>#VALUE!</v>
      </c>
      <c r="BD397" s="9" t="e">
        <f>IF(EFB!$S397=Table1[[#This Row],[SeriesEpisodeTitle]],"Yes","No")</f>
        <v>#VALUE!</v>
      </c>
      <c r="BE397" s="11">
        <f t="shared" si="23"/>
        <v>0</v>
      </c>
      <c r="BF397" s="11">
        <f t="shared" si="24"/>
        <v>0</v>
      </c>
      <c r="BH397" s="21" t="e">
        <f>Table1[[#This Row],[StartTime]]+$BG$2</f>
        <v>#VALUE!</v>
      </c>
    </row>
    <row r="398" spans="3:60" x14ac:dyDescent="0.25">
      <c r="C398" s="35"/>
      <c r="G398" s="1"/>
      <c r="H398" s="1"/>
      <c r="I398" s="1"/>
      <c r="J398" s="1"/>
      <c r="K398" s="33"/>
      <c r="L398" s="22"/>
      <c r="M398" s="1"/>
      <c r="N398" s="1"/>
      <c r="O398" s="1"/>
      <c r="P398" s="1"/>
      <c r="Q398" s="1"/>
      <c r="R398" s="1"/>
      <c r="S398" s="1"/>
      <c r="BB398" s="9" t="str">
        <f t="shared" si="22"/>
        <v>Yes</v>
      </c>
      <c r="BC398" s="9" t="e">
        <f>IF(EFB!$N398=Table1[[#This Row],[ProgramTitle]],"Yes","No")</f>
        <v>#VALUE!</v>
      </c>
      <c r="BD398" s="9" t="e">
        <f>IF(EFB!$S398=Table1[[#This Row],[SeriesEpisodeTitle]],"Yes","No")</f>
        <v>#VALUE!</v>
      </c>
      <c r="BE398" s="11">
        <f t="shared" si="23"/>
        <v>0</v>
      </c>
      <c r="BF398" s="11">
        <f t="shared" si="24"/>
        <v>0</v>
      </c>
      <c r="BH398" s="21" t="e">
        <f>Table1[[#This Row],[StartTime]]+$BG$2</f>
        <v>#VALUE!</v>
      </c>
    </row>
    <row r="399" spans="3:60" x14ac:dyDescent="0.25">
      <c r="C399" s="35"/>
      <c r="G399" s="1"/>
      <c r="H399" s="1"/>
      <c r="I399" s="1"/>
      <c r="J399" s="1"/>
      <c r="K399" s="33"/>
      <c r="L399" s="22"/>
      <c r="M399" s="1"/>
      <c r="N399" s="1"/>
      <c r="O399" s="1"/>
      <c r="P399" s="1"/>
      <c r="Q399" s="1"/>
      <c r="R399" s="1"/>
      <c r="S399" s="1"/>
      <c r="BB399" s="9" t="str">
        <f t="shared" si="22"/>
        <v>Yes</v>
      </c>
      <c r="BC399" s="9" t="e">
        <f>IF(EFB!$N399=Table1[[#This Row],[ProgramTitle]],"Yes","No")</f>
        <v>#VALUE!</v>
      </c>
      <c r="BD399" s="9" t="e">
        <f>IF(EFB!$S399=Table1[[#This Row],[SeriesEpisodeTitle]],"Yes","No")</f>
        <v>#VALUE!</v>
      </c>
      <c r="BE399" s="11">
        <f t="shared" si="23"/>
        <v>0</v>
      </c>
      <c r="BF399" s="11">
        <f t="shared" si="24"/>
        <v>0</v>
      </c>
      <c r="BH399" s="21" t="e">
        <f>Table1[[#This Row],[StartTime]]+$BG$2</f>
        <v>#VALUE!</v>
      </c>
    </row>
    <row r="400" spans="3:60" x14ac:dyDescent="0.25">
      <c r="C400" s="35"/>
      <c r="G400" s="1"/>
      <c r="H400" s="1"/>
      <c r="I400" s="1"/>
      <c r="J400" s="1"/>
      <c r="K400" s="33"/>
      <c r="L400" s="22"/>
      <c r="M400" s="1"/>
      <c r="N400" s="1"/>
      <c r="O400" s="1"/>
      <c r="P400" s="1"/>
      <c r="Q400" s="1"/>
      <c r="R400" s="1"/>
      <c r="S400" s="1"/>
      <c r="BB400" s="9" t="str">
        <f t="shared" si="22"/>
        <v>Yes</v>
      </c>
      <c r="BC400" s="9" t="e">
        <f>IF(EFB!$N400=Table1[[#This Row],[ProgramTitle]],"Yes","No")</f>
        <v>#VALUE!</v>
      </c>
      <c r="BD400" s="9" t="e">
        <f>IF(EFB!$S400=Table1[[#This Row],[SeriesEpisodeTitle]],"Yes","No")</f>
        <v>#VALUE!</v>
      </c>
      <c r="BE400" s="11">
        <f t="shared" si="23"/>
        <v>0</v>
      </c>
      <c r="BF400" s="11">
        <f t="shared" si="24"/>
        <v>0</v>
      </c>
      <c r="BH400" s="21" t="e">
        <f>Table1[[#This Row],[StartTime]]+$BG$2</f>
        <v>#VALUE!</v>
      </c>
    </row>
    <row r="401" spans="3:60" x14ac:dyDescent="0.25">
      <c r="C401" s="35"/>
      <c r="G401" s="1"/>
      <c r="H401" s="1"/>
      <c r="I401" s="1"/>
      <c r="J401" s="1"/>
      <c r="K401" s="33"/>
      <c r="L401" s="22"/>
      <c r="M401" s="1"/>
      <c r="N401" s="1"/>
      <c r="O401" s="1"/>
      <c r="P401" s="1"/>
      <c r="Q401" s="1"/>
      <c r="R401" s="1"/>
      <c r="S401" s="1"/>
      <c r="BB401" s="9" t="str">
        <f t="shared" si="22"/>
        <v>Yes</v>
      </c>
      <c r="BC401" s="9" t="e">
        <f>IF(EFB!$N401=Table1[[#This Row],[ProgramTitle]],"Yes","No")</f>
        <v>#VALUE!</v>
      </c>
      <c r="BD401" s="9" t="e">
        <f>IF(EFB!$S401=Table1[[#This Row],[SeriesEpisodeTitle]],"Yes","No")</f>
        <v>#VALUE!</v>
      </c>
      <c r="BE401" s="11">
        <f t="shared" si="23"/>
        <v>0</v>
      </c>
      <c r="BF401" s="11">
        <f t="shared" si="24"/>
        <v>0</v>
      </c>
      <c r="BH401" s="21" t="e">
        <f>Table1[[#This Row],[StartTime]]+$BG$2</f>
        <v>#VALUE!</v>
      </c>
    </row>
    <row r="402" spans="3:60" x14ac:dyDescent="0.25">
      <c r="C402" s="35"/>
      <c r="G402" s="1"/>
      <c r="H402" s="1"/>
      <c r="I402" s="1"/>
      <c r="J402" s="1"/>
      <c r="K402" s="33"/>
      <c r="L402" s="22"/>
      <c r="M402" s="1"/>
      <c r="N402" s="1"/>
      <c r="O402" s="1"/>
      <c r="P402" s="1"/>
      <c r="Q402" s="1"/>
      <c r="R402" s="1"/>
      <c r="S402" s="1"/>
      <c r="BB402" s="9" t="str">
        <f t="shared" si="22"/>
        <v>Yes</v>
      </c>
      <c r="BC402" s="9" t="e">
        <f>IF(EFB!$N402=Table1[[#This Row],[ProgramTitle]],"Yes","No")</f>
        <v>#VALUE!</v>
      </c>
      <c r="BD402" s="9" t="e">
        <f>IF(EFB!$S402=Table1[[#This Row],[SeriesEpisodeTitle]],"Yes","No")</f>
        <v>#VALUE!</v>
      </c>
      <c r="BE402" s="11">
        <f t="shared" si="23"/>
        <v>0</v>
      </c>
      <c r="BF402" s="11">
        <f t="shared" si="24"/>
        <v>0</v>
      </c>
      <c r="BH402" s="21" t="e">
        <f>Table1[[#This Row],[StartTime]]+$BG$2</f>
        <v>#VALUE!</v>
      </c>
    </row>
    <row r="403" spans="3:60" x14ac:dyDescent="0.25">
      <c r="C403" s="35"/>
      <c r="G403" s="1"/>
      <c r="H403" s="1"/>
      <c r="I403" s="1"/>
      <c r="J403" s="1"/>
      <c r="K403" s="33"/>
      <c r="L403" s="22"/>
      <c r="M403" s="1"/>
      <c r="N403" s="1"/>
      <c r="O403" s="1"/>
      <c r="P403" s="1"/>
      <c r="Q403" s="1"/>
      <c r="R403" s="1"/>
      <c r="S403" s="1"/>
      <c r="BB403" s="9" t="str">
        <f t="shared" si="22"/>
        <v>Yes</v>
      </c>
      <c r="BC403" s="9" t="e">
        <f>IF(EFB!$N403=Table1[[#This Row],[ProgramTitle]],"Yes","No")</f>
        <v>#VALUE!</v>
      </c>
      <c r="BD403" s="9" t="e">
        <f>IF(EFB!$S403=Table1[[#This Row],[SeriesEpisodeTitle]],"Yes","No")</f>
        <v>#VALUE!</v>
      </c>
      <c r="BE403" s="11">
        <f t="shared" si="23"/>
        <v>0</v>
      </c>
      <c r="BF403" s="11">
        <f t="shared" si="24"/>
        <v>0</v>
      </c>
      <c r="BH403" s="21" t="e">
        <f>Table1[[#This Row],[StartTime]]+$BG$2</f>
        <v>#VALUE!</v>
      </c>
    </row>
    <row r="404" spans="3:60" x14ac:dyDescent="0.25">
      <c r="C404" s="35"/>
      <c r="G404" s="1"/>
      <c r="H404" s="1"/>
      <c r="I404" s="1"/>
      <c r="J404" s="1"/>
      <c r="K404" s="33"/>
      <c r="L404" s="22"/>
      <c r="M404" s="1"/>
      <c r="N404" s="1"/>
      <c r="O404" s="1"/>
      <c r="P404" s="1"/>
      <c r="Q404" s="1"/>
      <c r="R404" s="1"/>
      <c r="S404" s="1"/>
      <c r="BB404" s="9" t="str">
        <f t="shared" si="22"/>
        <v>Yes</v>
      </c>
      <c r="BC404" s="9" t="e">
        <f>IF(EFB!$N404=Table1[[#This Row],[ProgramTitle]],"Yes","No")</f>
        <v>#VALUE!</v>
      </c>
      <c r="BD404" s="9" t="e">
        <f>IF(EFB!$S404=Table1[[#This Row],[SeriesEpisodeTitle]],"Yes","No")</f>
        <v>#VALUE!</v>
      </c>
      <c r="BE404" s="11">
        <f t="shared" si="23"/>
        <v>0</v>
      </c>
      <c r="BF404" s="11">
        <f t="shared" si="24"/>
        <v>0</v>
      </c>
      <c r="BH404" s="21" t="e">
        <f>Table1[[#This Row],[StartTime]]+$BG$2</f>
        <v>#VALUE!</v>
      </c>
    </row>
    <row r="405" spans="3:60" x14ac:dyDescent="0.25">
      <c r="C405" s="35"/>
      <c r="G405" s="1"/>
      <c r="H405" s="1"/>
      <c r="I405" s="1"/>
      <c r="J405" s="1"/>
      <c r="K405" s="33"/>
      <c r="L405" s="22"/>
      <c r="M405" s="1"/>
      <c r="N405" s="1"/>
      <c r="O405" s="1"/>
      <c r="P405" s="1"/>
      <c r="Q405" s="1"/>
      <c r="R405" s="1"/>
      <c r="S405" s="1"/>
      <c r="BB405" s="9" t="str">
        <f t="shared" si="22"/>
        <v>Yes</v>
      </c>
      <c r="BC405" s="9" t="e">
        <f>IF(EFB!$N405=Table1[[#This Row],[ProgramTitle]],"Yes","No")</f>
        <v>#VALUE!</v>
      </c>
      <c r="BD405" s="9" t="e">
        <f>IF(EFB!$S405=Table1[[#This Row],[SeriesEpisodeTitle]],"Yes","No")</f>
        <v>#VALUE!</v>
      </c>
      <c r="BE405" s="11">
        <f t="shared" si="23"/>
        <v>0</v>
      </c>
      <c r="BF405" s="11">
        <f t="shared" si="24"/>
        <v>0</v>
      </c>
      <c r="BH405" s="21" t="e">
        <f>Table1[[#This Row],[StartTime]]+$BG$2</f>
        <v>#VALUE!</v>
      </c>
    </row>
    <row r="406" spans="3:60" x14ac:dyDescent="0.25">
      <c r="C406" s="35"/>
      <c r="G406" s="1"/>
      <c r="H406" s="1"/>
      <c r="I406" s="1"/>
      <c r="J406" s="1"/>
      <c r="K406" s="33"/>
      <c r="L406" s="22"/>
      <c r="M406" s="1"/>
      <c r="N406" s="1"/>
      <c r="O406" s="1"/>
      <c r="P406" s="1"/>
      <c r="Q406" s="1"/>
      <c r="R406" s="1"/>
      <c r="S406" s="1"/>
      <c r="BB406" s="9" t="str">
        <f t="shared" si="22"/>
        <v>Yes</v>
      </c>
      <c r="BC406" s="9" t="e">
        <f>IF(EFB!$N406=Table1[[#This Row],[ProgramTitle]],"Yes","No")</f>
        <v>#VALUE!</v>
      </c>
      <c r="BD406" s="9" t="e">
        <f>IF(EFB!$S406=Table1[[#This Row],[SeriesEpisodeTitle]],"Yes","No")</f>
        <v>#VALUE!</v>
      </c>
      <c r="BE406" s="11">
        <f t="shared" si="23"/>
        <v>0</v>
      </c>
      <c r="BF406" s="11">
        <f t="shared" si="24"/>
        <v>0</v>
      </c>
      <c r="BH406" s="21" t="e">
        <f>Table1[[#This Row],[StartTime]]+$BG$2</f>
        <v>#VALUE!</v>
      </c>
    </row>
    <row r="407" spans="3:60" x14ac:dyDescent="0.25">
      <c r="C407" s="35"/>
      <c r="G407" s="1"/>
      <c r="H407" s="1"/>
      <c r="I407" s="1"/>
      <c r="J407" s="1"/>
      <c r="K407" s="33"/>
      <c r="L407" s="22"/>
      <c r="M407" s="1"/>
      <c r="N407" s="1"/>
      <c r="O407" s="1"/>
      <c r="P407" s="1"/>
      <c r="Q407" s="1"/>
      <c r="R407" s="1"/>
      <c r="S407" s="1"/>
      <c r="BB407" s="9" t="str">
        <f t="shared" si="22"/>
        <v>Yes</v>
      </c>
      <c r="BC407" s="9" t="e">
        <f>IF(EFB!$N407=Table1[[#This Row],[ProgramTitle]],"Yes","No")</f>
        <v>#VALUE!</v>
      </c>
      <c r="BD407" s="9" t="e">
        <f>IF(EFB!$S407=Table1[[#This Row],[SeriesEpisodeTitle]],"Yes","No")</f>
        <v>#VALUE!</v>
      </c>
      <c r="BE407" s="11">
        <f t="shared" si="23"/>
        <v>0</v>
      </c>
      <c r="BF407" s="11">
        <f t="shared" si="24"/>
        <v>0</v>
      </c>
      <c r="BH407" s="21" t="e">
        <f>Table1[[#This Row],[StartTime]]+$BG$2</f>
        <v>#VALUE!</v>
      </c>
    </row>
    <row r="408" spans="3:60" x14ac:dyDescent="0.25">
      <c r="C408" s="35"/>
      <c r="G408" s="1"/>
      <c r="H408" s="1"/>
      <c r="I408" s="1"/>
      <c r="J408" s="1"/>
      <c r="K408" s="33"/>
      <c r="L408" s="22"/>
      <c r="M408" s="1"/>
      <c r="N408" s="1"/>
      <c r="O408" s="1"/>
      <c r="P408" s="1"/>
      <c r="Q408" s="1"/>
      <c r="R408" s="1"/>
      <c r="S408" s="1"/>
      <c r="BB408" s="9" t="str">
        <f t="shared" si="22"/>
        <v>Yes</v>
      </c>
      <c r="BC408" s="9" t="e">
        <f>IF(EFB!$N408=Table1[[#This Row],[ProgramTitle]],"Yes","No")</f>
        <v>#VALUE!</v>
      </c>
      <c r="BD408" s="9" t="e">
        <f>IF(EFB!$S408=Table1[[#This Row],[SeriesEpisodeTitle]],"Yes","No")</f>
        <v>#VALUE!</v>
      </c>
      <c r="BE408" s="11">
        <f t="shared" si="23"/>
        <v>0</v>
      </c>
      <c r="BF408" s="11">
        <f t="shared" si="24"/>
        <v>0</v>
      </c>
      <c r="BH408" s="21" t="e">
        <f>Table1[[#This Row],[StartTime]]+$BG$2</f>
        <v>#VALUE!</v>
      </c>
    </row>
    <row r="409" spans="3:60" x14ac:dyDescent="0.25">
      <c r="C409" s="35"/>
      <c r="G409" s="1"/>
      <c r="H409" s="1"/>
      <c r="I409" s="1"/>
      <c r="J409" s="1"/>
      <c r="K409" s="33"/>
      <c r="L409" s="22"/>
      <c r="M409" s="1"/>
      <c r="N409" s="1"/>
      <c r="O409" s="1"/>
      <c r="P409" s="1"/>
      <c r="Q409" s="1"/>
      <c r="R409" s="1"/>
      <c r="S409" s="1"/>
      <c r="BB409" s="9" t="str">
        <f t="shared" si="22"/>
        <v>Yes</v>
      </c>
      <c r="BC409" s="9" t="e">
        <f>IF(EFB!$N409=Table1[[#This Row],[ProgramTitle]],"Yes","No")</f>
        <v>#VALUE!</v>
      </c>
      <c r="BD409" s="9" t="e">
        <f>IF(EFB!$S409=Table1[[#This Row],[SeriesEpisodeTitle]],"Yes","No")</f>
        <v>#VALUE!</v>
      </c>
      <c r="BE409" s="11">
        <f t="shared" si="23"/>
        <v>0</v>
      </c>
      <c r="BF409" s="11">
        <f t="shared" si="24"/>
        <v>0</v>
      </c>
      <c r="BH409" s="21" t="e">
        <f>Table1[[#This Row],[StartTime]]+$BG$2</f>
        <v>#VALUE!</v>
      </c>
    </row>
    <row r="410" spans="3:60" x14ac:dyDescent="0.25">
      <c r="C410" s="35"/>
      <c r="G410" s="1"/>
      <c r="H410" s="1"/>
      <c r="I410" s="1"/>
      <c r="J410" s="1"/>
      <c r="K410" s="33"/>
      <c r="L410" s="22"/>
      <c r="M410" s="1"/>
      <c r="N410" s="1"/>
      <c r="O410" s="1"/>
      <c r="P410" s="1"/>
      <c r="Q410" s="1"/>
      <c r="R410" s="1"/>
      <c r="S410" s="1"/>
      <c r="BB410" s="9" t="str">
        <f t="shared" si="22"/>
        <v>Yes</v>
      </c>
      <c r="BC410" s="9" t="e">
        <f>IF(EFB!$N410=Table1[[#This Row],[ProgramTitle]],"Yes","No")</f>
        <v>#VALUE!</v>
      </c>
      <c r="BD410" s="9" t="e">
        <f>IF(EFB!$S410=Table1[[#This Row],[SeriesEpisodeTitle]],"Yes","No")</f>
        <v>#VALUE!</v>
      </c>
      <c r="BE410" s="11">
        <f t="shared" si="23"/>
        <v>0</v>
      </c>
      <c r="BF410" s="11">
        <f t="shared" si="24"/>
        <v>0</v>
      </c>
      <c r="BH410" s="21" t="e">
        <f>Table1[[#This Row],[StartTime]]+$BG$2</f>
        <v>#VALUE!</v>
      </c>
    </row>
    <row r="411" spans="3:60" x14ac:dyDescent="0.25">
      <c r="C411" s="35"/>
      <c r="G411" s="1"/>
      <c r="H411" s="1"/>
      <c r="I411" s="1"/>
      <c r="J411" s="1"/>
      <c r="K411" s="33"/>
      <c r="L411" s="22"/>
      <c r="M411" s="1"/>
      <c r="N411" s="1"/>
      <c r="O411" s="1"/>
      <c r="P411" s="1"/>
      <c r="Q411" s="1"/>
      <c r="R411" s="1"/>
      <c r="S411" s="1"/>
      <c r="BB411" s="9" t="str">
        <f t="shared" si="22"/>
        <v>Yes</v>
      </c>
      <c r="BC411" s="9" t="e">
        <f>IF(EFB!$N411=Table1[[#This Row],[ProgramTitle]],"Yes","No")</f>
        <v>#VALUE!</v>
      </c>
      <c r="BD411" s="9" t="e">
        <f>IF(EFB!$S411=Table1[[#This Row],[SeriesEpisodeTitle]],"Yes","No")</f>
        <v>#VALUE!</v>
      </c>
      <c r="BE411" s="11">
        <f t="shared" si="23"/>
        <v>0</v>
      </c>
      <c r="BF411" s="11">
        <f t="shared" si="24"/>
        <v>0</v>
      </c>
      <c r="BH411" s="21" t="e">
        <f>Table1[[#This Row],[StartTime]]+$BG$2</f>
        <v>#VALUE!</v>
      </c>
    </row>
    <row r="412" spans="3:60" x14ac:dyDescent="0.25">
      <c r="C412" s="35"/>
      <c r="G412" s="1"/>
      <c r="H412" s="1"/>
      <c r="I412" s="1"/>
      <c r="J412" s="1"/>
      <c r="K412" s="33"/>
      <c r="L412" s="22"/>
      <c r="M412" s="1"/>
      <c r="N412" s="1"/>
      <c r="O412" s="1"/>
      <c r="P412" s="1"/>
      <c r="Q412" s="1"/>
      <c r="R412" s="1"/>
      <c r="S412" s="1"/>
      <c r="BB412" s="9" t="str">
        <f t="shared" si="22"/>
        <v>Yes</v>
      </c>
      <c r="BC412" s="9" t="e">
        <f>IF(EFB!$N412=Table1[[#This Row],[ProgramTitle]],"Yes","No")</f>
        <v>#VALUE!</v>
      </c>
      <c r="BD412" s="9" t="e">
        <f>IF(EFB!$S412=Table1[[#This Row],[SeriesEpisodeTitle]],"Yes","No")</f>
        <v>#VALUE!</v>
      </c>
      <c r="BE412" s="11">
        <f t="shared" si="23"/>
        <v>0</v>
      </c>
      <c r="BF412" s="11">
        <f t="shared" si="24"/>
        <v>0</v>
      </c>
      <c r="BH412" s="21" t="e">
        <f>Table1[[#This Row],[StartTime]]+$BG$2</f>
        <v>#VALUE!</v>
      </c>
    </row>
    <row r="413" spans="3:60" x14ac:dyDescent="0.25">
      <c r="C413" s="35"/>
      <c r="G413" s="1"/>
      <c r="H413" s="1"/>
      <c r="I413" s="1"/>
      <c r="J413" s="1"/>
      <c r="K413" s="33"/>
      <c r="L413" s="22"/>
      <c r="M413" s="1"/>
      <c r="N413" s="1"/>
      <c r="O413" s="1"/>
      <c r="P413" s="1"/>
      <c r="Q413" s="1"/>
      <c r="R413" s="1"/>
      <c r="S413" s="1"/>
      <c r="BB413" s="9" t="str">
        <f t="shared" si="22"/>
        <v>Yes</v>
      </c>
      <c r="BC413" s="9" t="e">
        <f>IF(EFB!$N413=Table1[[#This Row],[ProgramTitle]],"Yes","No")</f>
        <v>#VALUE!</v>
      </c>
      <c r="BD413" s="9" t="e">
        <f>IF(EFB!$S413=Table1[[#This Row],[SeriesEpisodeTitle]],"Yes","No")</f>
        <v>#VALUE!</v>
      </c>
      <c r="BE413" s="11">
        <f t="shared" si="23"/>
        <v>0</v>
      </c>
      <c r="BF413" s="11">
        <f t="shared" si="24"/>
        <v>0</v>
      </c>
      <c r="BH413" s="21" t="e">
        <f>Table1[[#This Row],[StartTime]]+$BG$2</f>
        <v>#VALUE!</v>
      </c>
    </row>
    <row r="414" spans="3:60" x14ac:dyDescent="0.25">
      <c r="C414" s="35"/>
      <c r="G414" s="1"/>
      <c r="H414" s="1"/>
      <c r="I414" s="1"/>
      <c r="J414" s="1"/>
      <c r="K414" s="33"/>
      <c r="L414" s="22"/>
      <c r="M414" s="1"/>
      <c r="N414" s="1"/>
      <c r="O414" s="1"/>
      <c r="P414" s="1"/>
      <c r="Q414" s="1"/>
      <c r="R414" s="1"/>
      <c r="S414" s="1"/>
      <c r="BB414" s="9" t="str">
        <f t="shared" si="22"/>
        <v>Yes</v>
      </c>
      <c r="BC414" s="9" t="e">
        <f>IF(EFB!$N414=Table1[[#This Row],[ProgramTitle]],"Yes","No")</f>
        <v>#VALUE!</v>
      </c>
      <c r="BD414" s="9" t="e">
        <f>IF(EFB!$S414=Table1[[#This Row],[SeriesEpisodeTitle]],"Yes","No")</f>
        <v>#VALUE!</v>
      </c>
      <c r="BE414" s="11">
        <f t="shared" si="23"/>
        <v>0</v>
      </c>
      <c r="BF414" s="11">
        <f t="shared" si="24"/>
        <v>0</v>
      </c>
      <c r="BH414" s="21" t="e">
        <f>Table1[[#This Row],[StartTime]]+$BG$2</f>
        <v>#VALUE!</v>
      </c>
    </row>
    <row r="415" spans="3:60" x14ac:dyDescent="0.25">
      <c r="C415" s="35"/>
      <c r="G415" s="1"/>
      <c r="H415" s="1"/>
      <c r="I415" s="1"/>
      <c r="J415" s="1"/>
      <c r="K415" s="33"/>
      <c r="L415" s="22"/>
      <c r="M415" s="1"/>
      <c r="N415" s="1"/>
      <c r="O415" s="1"/>
      <c r="P415" s="1"/>
      <c r="Q415" s="1"/>
      <c r="R415" s="1"/>
      <c r="S415" s="1"/>
      <c r="BB415" s="9" t="str">
        <f t="shared" si="22"/>
        <v>Yes</v>
      </c>
      <c r="BC415" s="9" t="e">
        <f>IF(EFB!$N415=Table1[[#This Row],[ProgramTitle]],"Yes","No")</f>
        <v>#VALUE!</v>
      </c>
      <c r="BD415" s="9" t="e">
        <f>IF(EFB!$S415=Table1[[#This Row],[SeriesEpisodeTitle]],"Yes","No")</f>
        <v>#VALUE!</v>
      </c>
      <c r="BE415" s="11">
        <f t="shared" si="23"/>
        <v>0</v>
      </c>
      <c r="BF415" s="11">
        <f t="shared" si="24"/>
        <v>0</v>
      </c>
      <c r="BH415" s="21" t="e">
        <f>Table1[[#This Row],[StartTime]]+$BG$2</f>
        <v>#VALUE!</v>
      </c>
    </row>
    <row r="416" spans="3:60" x14ac:dyDescent="0.25">
      <c r="C416" s="35"/>
      <c r="G416" s="1"/>
      <c r="H416" s="1"/>
      <c r="I416" s="1"/>
      <c r="J416" s="1"/>
      <c r="K416" s="33"/>
      <c r="L416" s="22"/>
      <c r="M416" s="1"/>
      <c r="N416" s="1"/>
      <c r="O416" s="1"/>
      <c r="P416" s="1"/>
      <c r="Q416" s="1"/>
      <c r="R416" s="1"/>
      <c r="S416" s="1"/>
      <c r="BB416" s="9" t="str">
        <f t="shared" si="22"/>
        <v>Yes</v>
      </c>
      <c r="BC416" s="9" t="e">
        <f>IF(EFB!$N416=Table1[[#This Row],[ProgramTitle]],"Yes","No")</f>
        <v>#VALUE!</v>
      </c>
      <c r="BD416" s="9" t="e">
        <f>IF(EFB!$S416=Table1[[#This Row],[SeriesEpisodeTitle]],"Yes","No")</f>
        <v>#VALUE!</v>
      </c>
      <c r="BE416" s="11">
        <f t="shared" si="23"/>
        <v>0</v>
      </c>
      <c r="BF416" s="11">
        <f t="shared" si="24"/>
        <v>0</v>
      </c>
      <c r="BH416" s="21" t="e">
        <f>Table1[[#This Row],[StartTime]]+$BG$2</f>
        <v>#VALUE!</v>
      </c>
    </row>
    <row r="417" spans="3:60" x14ac:dyDescent="0.25">
      <c r="C417" s="35"/>
      <c r="G417" s="1"/>
      <c r="H417" s="1"/>
      <c r="I417" s="1"/>
      <c r="J417" s="1"/>
      <c r="K417" s="33"/>
      <c r="L417" s="22"/>
      <c r="M417" s="1"/>
      <c r="N417" s="1"/>
      <c r="O417" s="1"/>
      <c r="P417" s="1"/>
      <c r="Q417" s="1"/>
      <c r="R417" s="1"/>
      <c r="S417" s="1"/>
      <c r="BB417" s="9" t="str">
        <f t="shared" si="22"/>
        <v>Yes</v>
      </c>
      <c r="BC417" s="9" t="e">
        <f>IF(EFB!$N417=Table1[[#This Row],[ProgramTitle]],"Yes","No")</f>
        <v>#VALUE!</v>
      </c>
      <c r="BD417" s="9" t="e">
        <f>IF(EFB!$S417=Table1[[#This Row],[SeriesEpisodeTitle]],"Yes","No")</f>
        <v>#VALUE!</v>
      </c>
      <c r="BE417" s="11">
        <f t="shared" si="23"/>
        <v>0</v>
      </c>
      <c r="BF417" s="11">
        <f t="shared" si="24"/>
        <v>0</v>
      </c>
      <c r="BH417" s="21" t="e">
        <f>Table1[[#This Row],[StartTime]]+$BG$2</f>
        <v>#VALUE!</v>
      </c>
    </row>
    <row r="418" spans="3:60" x14ac:dyDescent="0.25">
      <c r="C418" s="35"/>
      <c r="G418" s="1"/>
      <c r="H418" s="1"/>
      <c r="I418" s="1"/>
      <c r="J418" s="1"/>
      <c r="K418" s="33"/>
      <c r="L418" s="22"/>
      <c r="M418" s="1"/>
      <c r="N418" s="1"/>
      <c r="O418" s="1"/>
      <c r="P418" s="1"/>
      <c r="Q418" s="1"/>
      <c r="R418" s="1"/>
      <c r="S418" s="1"/>
      <c r="BB418" s="9" t="str">
        <f t="shared" si="22"/>
        <v>Yes</v>
      </c>
      <c r="BC418" s="9" t="e">
        <f>IF(EFB!$N418=Table1[[#This Row],[ProgramTitle]],"Yes","No")</f>
        <v>#VALUE!</v>
      </c>
      <c r="BD418" s="9" t="e">
        <f>IF(EFB!$S418=Table1[[#This Row],[SeriesEpisodeTitle]],"Yes","No")</f>
        <v>#VALUE!</v>
      </c>
      <c r="BE418" s="11">
        <f t="shared" si="23"/>
        <v>0</v>
      </c>
      <c r="BF418" s="11">
        <f t="shared" si="24"/>
        <v>0</v>
      </c>
      <c r="BH418" s="21" t="e">
        <f>Table1[[#This Row],[StartTime]]+$BG$2</f>
        <v>#VALUE!</v>
      </c>
    </row>
    <row r="419" spans="3:60" x14ac:dyDescent="0.25">
      <c r="C419" s="35"/>
      <c r="G419" s="1"/>
      <c r="H419" s="1"/>
      <c r="I419" s="1"/>
      <c r="J419" s="1"/>
      <c r="K419" s="33"/>
      <c r="L419" s="22"/>
      <c r="M419" s="1"/>
      <c r="N419" s="1"/>
      <c r="O419" s="1"/>
      <c r="P419" s="1"/>
      <c r="Q419" s="1"/>
      <c r="R419" s="1"/>
      <c r="S419" s="1"/>
      <c r="BB419" s="9" t="str">
        <f t="shared" si="22"/>
        <v>Yes</v>
      </c>
      <c r="BC419" s="9" t="e">
        <f>IF(EFB!$N419=Table1[[#This Row],[ProgramTitle]],"Yes","No")</f>
        <v>#VALUE!</v>
      </c>
      <c r="BD419" s="9" t="e">
        <f>IF(EFB!$S419=Table1[[#This Row],[SeriesEpisodeTitle]],"Yes","No")</f>
        <v>#VALUE!</v>
      </c>
      <c r="BE419" s="11">
        <f t="shared" si="23"/>
        <v>0</v>
      </c>
      <c r="BF419" s="11">
        <f t="shared" si="24"/>
        <v>0</v>
      </c>
      <c r="BH419" s="21" t="e">
        <f>Table1[[#This Row],[StartTime]]+$BG$2</f>
        <v>#VALUE!</v>
      </c>
    </row>
    <row r="420" spans="3:60" x14ac:dyDescent="0.25">
      <c r="C420" s="35"/>
      <c r="G420" s="1"/>
      <c r="H420" s="1"/>
      <c r="I420" s="1"/>
      <c r="J420" s="1"/>
      <c r="K420" s="33"/>
      <c r="L420" s="22"/>
      <c r="M420" s="1"/>
      <c r="N420" s="1"/>
      <c r="O420" s="1"/>
      <c r="P420" s="1"/>
      <c r="Q420" s="1"/>
      <c r="R420" s="1"/>
      <c r="S420" s="1"/>
      <c r="BB420" s="9" t="str">
        <f t="shared" si="22"/>
        <v>Yes</v>
      </c>
      <c r="BC420" s="9" t="e">
        <f>IF(EFB!$N420=Table1[[#This Row],[ProgramTitle]],"Yes","No")</f>
        <v>#VALUE!</v>
      </c>
      <c r="BD420" s="9" t="e">
        <f>IF(EFB!$S420=Table1[[#This Row],[SeriesEpisodeTitle]],"Yes","No")</f>
        <v>#VALUE!</v>
      </c>
      <c r="BE420" s="11">
        <f t="shared" si="23"/>
        <v>0</v>
      </c>
      <c r="BF420" s="11">
        <f t="shared" si="24"/>
        <v>0</v>
      </c>
      <c r="BH420" s="21" t="e">
        <f>Table1[[#This Row],[StartTime]]+$BG$2</f>
        <v>#VALUE!</v>
      </c>
    </row>
    <row r="421" spans="3:60" x14ac:dyDescent="0.25">
      <c r="C421" s="35"/>
      <c r="G421" s="1"/>
      <c r="H421" s="1"/>
      <c r="I421" s="1"/>
      <c r="J421" s="1"/>
      <c r="K421" s="33"/>
      <c r="L421" s="22"/>
      <c r="M421" s="1"/>
      <c r="N421" s="1"/>
      <c r="O421" s="1"/>
      <c r="P421" s="1"/>
      <c r="Q421" s="1"/>
      <c r="R421" s="1"/>
      <c r="S421" s="1"/>
      <c r="BB421" s="9" t="str">
        <f t="shared" si="22"/>
        <v>Yes</v>
      </c>
      <c r="BC421" s="9" t="e">
        <f>IF(EFB!$N421=Table1[[#This Row],[ProgramTitle]],"Yes","No")</f>
        <v>#VALUE!</v>
      </c>
      <c r="BD421" s="9" t="e">
        <f>IF(EFB!$S421=Table1[[#This Row],[SeriesEpisodeTitle]],"Yes","No")</f>
        <v>#VALUE!</v>
      </c>
      <c r="BE421" s="11">
        <f t="shared" si="23"/>
        <v>0</v>
      </c>
      <c r="BF421" s="11">
        <f t="shared" si="24"/>
        <v>0</v>
      </c>
      <c r="BH421" s="21" t="e">
        <f>Table1[[#This Row],[StartTime]]+$BG$2</f>
        <v>#VALUE!</v>
      </c>
    </row>
    <row r="422" spans="3:60" x14ac:dyDescent="0.25">
      <c r="C422" s="35"/>
      <c r="G422" s="1"/>
      <c r="H422" s="1"/>
      <c r="I422" s="1"/>
      <c r="J422" s="1"/>
      <c r="K422" s="33"/>
      <c r="L422" s="22"/>
      <c r="M422" s="1"/>
      <c r="N422" s="1"/>
      <c r="O422" s="1"/>
      <c r="P422" s="1"/>
      <c r="Q422" s="1"/>
      <c r="R422" s="1"/>
      <c r="S422" s="1"/>
      <c r="BB422" s="9" t="str">
        <f t="shared" si="22"/>
        <v>Yes</v>
      </c>
      <c r="BC422" s="9" t="e">
        <f>IF(EFB!$N422=Table1[[#This Row],[ProgramTitle]],"Yes","No")</f>
        <v>#VALUE!</v>
      </c>
      <c r="BD422" s="9" t="e">
        <f>IF(EFB!$S422=Table1[[#This Row],[SeriesEpisodeTitle]],"Yes","No")</f>
        <v>#VALUE!</v>
      </c>
      <c r="BE422" s="11">
        <f t="shared" si="23"/>
        <v>0</v>
      </c>
      <c r="BF422" s="11">
        <f t="shared" si="24"/>
        <v>0</v>
      </c>
      <c r="BH422" s="21" t="e">
        <f>Table1[[#This Row],[StartTime]]+$BG$2</f>
        <v>#VALUE!</v>
      </c>
    </row>
    <row r="423" spans="3:60" x14ac:dyDescent="0.25">
      <c r="C423" s="35"/>
      <c r="G423" s="1"/>
      <c r="H423" s="1"/>
      <c r="I423" s="1"/>
      <c r="J423" s="1"/>
      <c r="K423" s="33"/>
      <c r="L423" s="22"/>
      <c r="M423" s="1"/>
      <c r="N423" s="1"/>
      <c r="O423" s="1"/>
      <c r="P423" s="1"/>
      <c r="Q423" s="1"/>
      <c r="R423" s="1"/>
      <c r="S423" s="1"/>
      <c r="BB423" s="9" t="str">
        <f t="shared" si="22"/>
        <v>Yes</v>
      </c>
      <c r="BC423" s="9" t="e">
        <f>IF(EFB!$N423=Table1[[#This Row],[ProgramTitle]],"Yes","No")</f>
        <v>#VALUE!</v>
      </c>
      <c r="BD423" s="9" t="e">
        <f>IF(EFB!$S423=Table1[[#This Row],[SeriesEpisodeTitle]],"Yes","No")</f>
        <v>#VALUE!</v>
      </c>
      <c r="BE423" s="11">
        <f t="shared" si="23"/>
        <v>0</v>
      </c>
      <c r="BF423" s="11">
        <f t="shared" si="24"/>
        <v>0</v>
      </c>
      <c r="BH423" s="21" t="e">
        <f>Table1[[#This Row],[StartTime]]+$BG$2</f>
        <v>#VALUE!</v>
      </c>
    </row>
    <row r="424" spans="3:60" x14ac:dyDescent="0.25">
      <c r="C424" s="35"/>
      <c r="G424" s="1"/>
      <c r="H424" s="1"/>
      <c r="I424" s="1"/>
      <c r="J424" s="1"/>
      <c r="K424" s="33"/>
      <c r="L424" s="22"/>
      <c r="M424" s="1"/>
      <c r="N424" s="1"/>
      <c r="O424" s="1"/>
      <c r="P424" s="1"/>
      <c r="Q424" s="1"/>
      <c r="R424" s="1"/>
      <c r="S424" s="1"/>
      <c r="BB424" s="9" t="str">
        <f t="shared" si="22"/>
        <v>Yes</v>
      </c>
      <c r="BC424" s="9" t="e">
        <f>IF(EFB!$N424=Table1[[#This Row],[ProgramTitle]],"Yes","No")</f>
        <v>#VALUE!</v>
      </c>
      <c r="BD424" s="9" t="e">
        <f>IF(EFB!$S424=Table1[[#This Row],[SeriesEpisodeTitle]],"Yes","No")</f>
        <v>#VALUE!</v>
      </c>
      <c r="BE424" s="11">
        <f t="shared" si="23"/>
        <v>0</v>
      </c>
      <c r="BF424" s="11">
        <f t="shared" si="24"/>
        <v>0</v>
      </c>
      <c r="BH424" s="21" t="e">
        <f>Table1[[#This Row],[StartTime]]+$BG$2</f>
        <v>#VALUE!</v>
      </c>
    </row>
    <row r="425" spans="3:60" x14ac:dyDescent="0.25">
      <c r="C425" s="35"/>
      <c r="G425" s="1"/>
      <c r="H425" s="1"/>
      <c r="I425" s="1"/>
      <c r="J425" s="1"/>
      <c r="K425" s="33"/>
      <c r="L425" s="22"/>
      <c r="M425" s="1"/>
      <c r="N425" s="1"/>
      <c r="O425" s="1"/>
      <c r="P425" s="1"/>
      <c r="Q425" s="1"/>
      <c r="R425" s="1"/>
      <c r="S425" s="1"/>
      <c r="BB425" s="9" t="str">
        <f t="shared" si="22"/>
        <v>Yes</v>
      </c>
      <c r="BC425" s="9" t="e">
        <f>IF(EFB!$N425=Table1[[#This Row],[ProgramTitle]],"Yes","No")</f>
        <v>#VALUE!</v>
      </c>
      <c r="BD425" s="9" t="e">
        <f>IF(EFB!$S425=Table1[[#This Row],[SeriesEpisodeTitle]],"Yes","No")</f>
        <v>#VALUE!</v>
      </c>
      <c r="BE425" s="11">
        <f t="shared" si="23"/>
        <v>0</v>
      </c>
      <c r="BF425" s="11">
        <f t="shared" si="24"/>
        <v>0</v>
      </c>
      <c r="BH425" s="21" t="e">
        <f>Table1[[#This Row],[StartTime]]+$BG$2</f>
        <v>#VALUE!</v>
      </c>
    </row>
    <row r="426" spans="3:60" x14ac:dyDescent="0.25">
      <c r="C426" s="35"/>
      <c r="G426" s="1"/>
      <c r="H426" s="1"/>
      <c r="I426" s="1"/>
      <c r="J426" s="1"/>
      <c r="K426" s="33"/>
      <c r="L426" s="22"/>
      <c r="M426" s="1"/>
      <c r="N426" s="1"/>
      <c r="O426" s="1"/>
      <c r="P426" s="1"/>
      <c r="Q426" s="1"/>
      <c r="R426" s="1"/>
      <c r="S426" s="1"/>
      <c r="BB426" s="9" t="str">
        <f t="shared" si="22"/>
        <v>Yes</v>
      </c>
      <c r="BC426" s="9" t="e">
        <f>IF(EFB!$N426=Table1[[#This Row],[ProgramTitle]],"Yes","No")</f>
        <v>#VALUE!</v>
      </c>
      <c r="BD426" s="9" t="e">
        <f>IF(EFB!$S426=Table1[[#This Row],[SeriesEpisodeTitle]],"Yes","No")</f>
        <v>#VALUE!</v>
      </c>
      <c r="BE426" s="11">
        <f t="shared" si="23"/>
        <v>0</v>
      </c>
      <c r="BF426" s="11">
        <f t="shared" si="24"/>
        <v>0</v>
      </c>
      <c r="BH426" s="21" t="e">
        <f>Table1[[#This Row],[StartTime]]+$BG$2</f>
        <v>#VALUE!</v>
      </c>
    </row>
    <row r="427" spans="3:60" x14ac:dyDescent="0.25">
      <c r="C427" s="35"/>
      <c r="G427" s="1"/>
      <c r="H427" s="1"/>
      <c r="I427" s="1"/>
      <c r="J427" s="1"/>
      <c r="K427" s="33"/>
      <c r="L427" s="22"/>
      <c r="M427" s="1"/>
      <c r="N427" s="1"/>
      <c r="O427" s="1"/>
      <c r="P427" s="1"/>
      <c r="Q427" s="1"/>
      <c r="R427" s="1"/>
      <c r="S427" s="1"/>
      <c r="BB427" s="9" t="str">
        <f t="shared" si="22"/>
        <v>Yes</v>
      </c>
      <c r="BC427" s="9" t="e">
        <f>IF(EFB!$N427=Table1[[#This Row],[ProgramTitle]],"Yes","No")</f>
        <v>#VALUE!</v>
      </c>
      <c r="BD427" s="9" t="e">
        <f>IF(EFB!$S427=Table1[[#This Row],[SeriesEpisodeTitle]],"Yes","No")</f>
        <v>#VALUE!</v>
      </c>
      <c r="BE427" s="11">
        <f t="shared" si="23"/>
        <v>0</v>
      </c>
      <c r="BF427" s="11">
        <f t="shared" si="24"/>
        <v>0</v>
      </c>
      <c r="BH427" s="21" t="e">
        <f>Table1[[#This Row],[StartTime]]+$BG$2</f>
        <v>#VALUE!</v>
      </c>
    </row>
    <row r="428" spans="3:60" x14ac:dyDescent="0.25">
      <c r="C428" s="35"/>
      <c r="G428" s="1"/>
      <c r="H428" s="1"/>
      <c r="I428" s="1"/>
      <c r="J428" s="1"/>
      <c r="K428" s="33"/>
      <c r="L428" s="22"/>
      <c r="M428" s="1"/>
      <c r="N428" s="1"/>
      <c r="O428" s="1"/>
      <c r="P428" s="1"/>
      <c r="Q428" s="1"/>
      <c r="R428" s="1"/>
      <c r="S428" s="1"/>
      <c r="BB428" s="9" t="str">
        <f t="shared" si="22"/>
        <v>Yes</v>
      </c>
      <c r="BC428" s="9" t="e">
        <f>IF(EFB!$N428=Table1[[#This Row],[ProgramTitle]],"Yes","No")</f>
        <v>#VALUE!</v>
      </c>
      <c r="BD428" s="9" t="e">
        <f>IF(EFB!$S428=Table1[[#This Row],[SeriesEpisodeTitle]],"Yes","No")</f>
        <v>#VALUE!</v>
      </c>
      <c r="BE428" s="11">
        <f t="shared" si="23"/>
        <v>0</v>
      </c>
      <c r="BF428" s="11">
        <f t="shared" si="24"/>
        <v>0</v>
      </c>
      <c r="BH428" s="21" t="e">
        <f>Table1[[#This Row],[StartTime]]+$BG$2</f>
        <v>#VALUE!</v>
      </c>
    </row>
    <row r="429" spans="3:60" x14ac:dyDescent="0.25">
      <c r="C429" s="35"/>
      <c r="G429" s="1"/>
      <c r="H429" s="1"/>
      <c r="I429" s="1"/>
      <c r="J429" s="1"/>
      <c r="K429" s="33"/>
      <c r="L429" s="22"/>
      <c r="M429" s="1"/>
      <c r="N429" s="1"/>
      <c r="O429" s="1"/>
      <c r="P429" s="1"/>
      <c r="Q429" s="1"/>
      <c r="R429" s="1"/>
      <c r="S429" s="1"/>
      <c r="BB429" s="9" t="str">
        <f t="shared" si="22"/>
        <v>Yes</v>
      </c>
      <c r="BC429" s="9" t="e">
        <f>IF(EFB!$N429=Table1[[#This Row],[ProgramTitle]],"Yes","No")</f>
        <v>#VALUE!</v>
      </c>
      <c r="BD429" s="9" t="e">
        <f>IF(EFB!$S429=Table1[[#This Row],[SeriesEpisodeTitle]],"Yes","No")</f>
        <v>#VALUE!</v>
      </c>
      <c r="BE429" s="11">
        <f t="shared" si="23"/>
        <v>0</v>
      </c>
      <c r="BF429" s="11">
        <f t="shared" si="24"/>
        <v>0</v>
      </c>
      <c r="BH429" s="21" t="e">
        <f>Table1[[#This Row],[StartTime]]+$BG$2</f>
        <v>#VALUE!</v>
      </c>
    </row>
    <row r="430" spans="3:60" x14ac:dyDescent="0.25">
      <c r="C430" s="35"/>
      <c r="G430" s="1"/>
      <c r="H430" s="1"/>
      <c r="I430" s="1"/>
      <c r="J430" s="1"/>
      <c r="K430" s="33"/>
      <c r="L430" s="22"/>
      <c r="M430" s="1"/>
      <c r="N430" s="1"/>
      <c r="O430" s="1"/>
      <c r="P430" s="1"/>
      <c r="Q430" s="1"/>
      <c r="R430" s="1"/>
      <c r="S430" s="1"/>
      <c r="BB430" s="9" t="str">
        <f t="shared" si="22"/>
        <v>Yes</v>
      </c>
      <c r="BC430" s="9" t="e">
        <f>IF(EFB!$N430=Table1[[#This Row],[ProgramTitle]],"Yes","No")</f>
        <v>#VALUE!</v>
      </c>
      <c r="BD430" s="9" t="e">
        <f>IF(EFB!$S430=Table1[[#This Row],[SeriesEpisodeTitle]],"Yes","No")</f>
        <v>#VALUE!</v>
      </c>
      <c r="BE430" s="11">
        <f t="shared" si="23"/>
        <v>0</v>
      </c>
      <c r="BF430" s="11">
        <f t="shared" si="24"/>
        <v>0</v>
      </c>
      <c r="BH430" s="21" t="e">
        <f>Table1[[#This Row],[StartTime]]+$BG$2</f>
        <v>#VALUE!</v>
      </c>
    </row>
    <row r="431" spans="3:60" x14ac:dyDescent="0.25">
      <c r="C431" s="35"/>
      <c r="G431" s="1"/>
      <c r="H431" s="1"/>
      <c r="I431" s="1"/>
      <c r="J431" s="1"/>
      <c r="K431" s="33"/>
      <c r="L431" s="22"/>
      <c r="M431" s="1"/>
      <c r="N431" s="1"/>
      <c r="O431" s="1"/>
      <c r="P431" s="1"/>
      <c r="Q431" s="1"/>
      <c r="R431" s="1"/>
      <c r="S431" s="1"/>
      <c r="BB431" s="9" t="str">
        <f t="shared" ref="BB431:BB494" si="25">IF(BE431=BF431,"Yes","No")</f>
        <v>Yes</v>
      </c>
      <c r="BC431" s="9" t="e">
        <f>IF(EFB!$N431=Table1[[#This Row],[ProgramTitle]],"Yes","No")</f>
        <v>#VALUE!</v>
      </c>
      <c r="BD431" s="9" t="e">
        <f>IF(EFB!$S431=Table1[[#This Row],[SeriesEpisodeTitle]],"Yes","No")</f>
        <v>#VALUE!</v>
      </c>
      <c r="BE431" s="11">
        <f t="shared" ref="BE431:BE494" si="26">TIME(HOUR(C431),MINUTE(C431),SECOND(0))</f>
        <v>0</v>
      </c>
      <c r="BF431" s="11">
        <f t="shared" ref="BF431:BF494" si="27">TIME(HOUR(L431),MINUTE(L431),SECOND(0))</f>
        <v>0</v>
      </c>
      <c r="BH431" s="21" t="e">
        <f>Table1[[#This Row],[StartTime]]+$BG$2</f>
        <v>#VALUE!</v>
      </c>
    </row>
    <row r="432" spans="3:60" x14ac:dyDescent="0.25">
      <c r="C432" s="35"/>
      <c r="G432" s="1"/>
      <c r="H432" s="1"/>
      <c r="I432" s="1"/>
      <c r="J432" s="1"/>
      <c r="K432" s="33"/>
      <c r="L432" s="22"/>
      <c r="M432" s="1"/>
      <c r="N432" s="1"/>
      <c r="O432" s="1"/>
      <c r="P432" s="1"/>
      <c r="Q432" s="1"/>
      <c r="R432" s="1"/>
      <c r="S432" s="1"/>
      <c r="BB432" s="9" t="str">
        <f t="shared" si="25"/>
        <v>Yes</v>
      </c>
      <c r="BC432" s="9" t="e">
        <f>IF(EFB!$N432=Table1[[#This Row],[ProgramTitle]],"Yes","No")</f>
        <v>#VALUE!</v>
      </c>
      <c r="BD432" s="9" t="e">
        <f>IF(EFB!$S432=Table1[[#This Row],[SeriesEpisodeTitle]],"Yes","No")</f>
        <v>#VALUE!</v>
      </c>
      <c r="BE432" s="11">
        <f t="shared" si="26"/>
        <v>0</v>
      </c>
      <c r="BF432" s="11">
        <f t="shared" si="27"/>
        <v>0</v>
      </c>
      <c r="BH432" s="21" t="e">
        <f>Table1[[#This Row],[StartTime]]+$BG$2</f>
        <v>#VALUE!</v>
      </c>
    </row>
    <row r="433" spans="3:60" x14ac:dyDescent="0.25">
      <c r="C433" s="35"/>
      <c r="G433" s="1"/>
      <c r="H433" s="1"/>
      <c r="I433" s="1"/>
      <c r="J433" s="1"/>
      <c r="K433" s="33"/>
      <c r="L433" s="22"/>
      <c r="M433" s="1"/>
      <c r="N433" s="1"/>
      <c r="O433" s="1"/>
      <c r="P433" s="1"/>
      <c r="Q433" s="1"/>
      <c r="R433" s="1"/>
      <c r="S433" s="1"/>
      <c r="BB433" s="9" t="str">
        <f t="shared" si="25"/>
        <v>Yes</v>
      </c>
      <c r="BC433" s="9" t="e">
        <f>IF(EFB!$N433=Table1[[#This Row],[ProgramTitle]],"Yes","No")</f>
        <v>#VALUE!</v>
      </c>
      <c r="BD433" s="9" t="e">
        <f>IF(EFB!$S433=Table1[[#This Row],[SeriesEpisodeTitle]],"Yes","No")</f>
        <v>#VALUE!</v>
      </c>
      <c r="BE433" s="11">
        <f t="shared" si="26"/>
        <v>0</v>
      </c>
      <c r="BF433" s="11">
        <f t="shared" si="27"/>
        <v>0</v>
      </c>
      <c r="BH433" s="21" t="e">
        <f>Table1[[#This Row],[StartTime]]+$BG$2</f>
        <v>#VALUE!</v>
      </c>
    </row>
    <row r="434" spans="3:60" x14ac:dyDescent="0.25">
      <c r="C434" s="35"/>
      <c r="G434" s="1"/>
      <c r="H434" s="1"/>
      <c r="I434" s="1"/>
      <c r="J434" s="1"/>
      <c r="K434" s="33"/>
      <c r="L434" s="22"/>
      <c r="M434" s="1"/>
      <c r="N434" s="1"/>
      <c r="O434" s="1"/>
      <c r="P434" s="1"/>
      <c r="Q434" s="1"/>
      <c r="R434" s="1"/>
      <c r="S434" s="1"/>
      <c r="BB434" s="9" t="str">
        <f t="shared" si="25"/>
        <v>Yes</v>
      </c>
      <c r="BC434" s="9" t="e">
        <f>IF(EFB!$N434=Table1[[#This Row],[ProgramTitle]],"Yes","No")</f>
        <v>#VALUE!</v>
      </c>
      <c r="BD434" s="9" t="e">
        <f>IF(EFB!$S434=Table1[[#This Row],[SeriesEpisodeTitle]],"Yes","No")</f>
        <v>#VALUE!</v>
      </c>
      <c r="BE434" s="11">
        <f t="shared" si="26"/>
        <v>0</v>
      </c>
      <c r="BF434" s="11">
        <f t="shared" si="27"/>
        <v>0</v>
      </c>
      <c r="BH434" s="21" t="e">
        <f>Table1[[#This Row],[StartTime]]+$BG$2</f>
        <v>#VALUE!</v>
      </c>
    </row>
    <row r="435" spans="3:60" x14ac:dyDescent="0.25">
      <c r="C435" s="35"/>
      <c r="G435" s="1"/>
      <c r="H435" s="1"/>
      <c r="I435" s="1"/>
      <c r="J435" s="1"/>
      <c r="K435" s="33"/>
      <c r="L435" s="22"/>
      <c r="M435" s="1"/>
      <c r="N435" s="1"/>
      <c r="O435" s="1"/>
      <c r="P435" s="1"/>
      <c r="Q435" s="1"/>
      <c r="R435" s="1"/>
      <c r="S435" s="1"/>
      <c r="BB435" s="9" t="str">
        <f t="shared" si="25"/>
        <v>Yes</v>
      </c>
      <c r="BC435" s="9" t="e">
        <f>IF(EFB!$N435=Table1[[#This Row],[ProgramTitle]],"Yes","No")</f>
        <v>#VALUE!</v>
      </c>
      <c r="BD435" s="9" t="e">
        <f>IF(EFB!$S435=Table1[[#This Row],[SeriesEpisodeTitle]],"Yes","No")</f>
        <v>#VALUE!</v>
      </c>
      <c r="BE435" s="11">
        <f t="shared" si="26"/>
        <v>0</v>
      </c>
      <c r="BF435" s="11">
        <f t="shared" si="27"/>
        <v>0</v>
      </c>
      <c r="BH435" s="21" t="e">
        <f>Table1[[#This Row],[StartTime]]+$BG$2</f>
        <v>#VALUE!</v>
      </c>
    </row>
    <row r="436" spans="3:60" x14ac:dyDescent="0.25">
      <c r="C436" s="35"/>
      <c r="G436" s="1"/>
      <c r="H436" s="1"/>
      <c r="I436" s="1"/>
      <c r="J436" s="1"/>
      <c r="K436" s="33"/>
      <c r="L436" s="22"/>
      <c r="M436" s="1"/>
      <c r="N436" s="1"/>
      <c r="O436" s="1"/>
      <c r="P436" s="1"/>
      <c r="Q436" s="1"/>
      <c r="R436" s="1"/>
      <c r="S436" s="1"/>
      <c r="BB436" s="9" t="str">
        <f t="shared" si="25"/>
        <v>Yes</v>
      </c>
      <c r="BC436" s="9" t="e">
        <f>IF(EFB!$N436=Table1[[#This Row],[ProgramTitle]],"Yes","No")</f>
        <v>#VALUE!</v>
      </c>
      <c r="BD436" s="9" t="e">
        <f>IF(EFB!$S436=Table1[[#This Row],[SeriesEpisodeTitle]],"Yes","No")</f>
        <v>#VALUE!</v>
      </c>
      <c r="BE436" s="11">
        <f t="shared" si="26"/>
        <v>0</v>
      </c>
      <c r="BF436" s="11">
        <f t="shared" si="27"/>
        <v>0</v>
      </c>
      <c r="BH436" s="21" t="e">
        <f>Table1[[#This Row],[StartTime]]+$BG$2</f>
        <v>#VALUE!</v>
      </c>
    </row>
    <row r="437" spans="3:60" x14ac:dyDescent="0.25">
      <c r="C437" s="35"/>
      <c r="G437" s="1"/>
      <c r="H437" s="1"/>
      <c r="I437" s="1"/>
      <c r="J437" s="1"/>
      <c r="K437" s="33"/>
      <c r="L437" s="22"/>
      <c r="M437" s="1"/>
      <c r="N437" s="1"/>
      <c r="O437" s="1"/>
      <c r="P437" s="1"/>
      <c r="Q437" s="1"/>
      <c r="R437" s="1"/>
      <c r="S437" s="1"/>
      <c r="BB437" s="9" t="str">
        <f t="shared" si="25"/>
        <v>Yes</v>
      </c>
      <c r="BC437" s="9" t="e">
        <f>IF(EFB!$N437=Table1[[#This Row],[ProgramTitle]],"Yes","No")</f>
        <v>#VALUE!</v>
      </c>
      <c r="BD437" s="9" t="e">
        <f>IF(EFB!$S437=Table1[[#This Row],[SeriesEpisodeTitle]],"Yes","No")</f>
        <v>#VALUE!</v>
      </c>
      <c r="BE437" s="11">
        <f t="shared" si="26"/>
        <v>0</v>
      </c>
      <c r="BF437" s="11">
        <f t="shared" si="27"/>
        <v>0</v>
      </c>
      <c r="BH437" s="21" t="e">
        <f>Table1[[#This Row],[StartTime]]+$BG$2</f>
        <v>#VALUE!</v>
      </c>
    </row>
    <row r="438" spans="3:60" x14ac:dyDescent="0.25">
      <c r="C438" s="35"/>
      <c r="G438" s="1"/>
      <c r="H438" s="1"/>
      <c r="I438" s="1"/>
      <c r="J438" s="1"/>
      <c r="K438" s="33"/>
      <c r="L438" s="22"/>
      <c r="M438" s="1"/>
      <c r="N438" s="1"/>
      <c r="O438" s="1"/>
      <c r="P438" s="1"/>
      <c r="Q438" s="1"/>
      <c r="R438" s="1"/>
      <c r="S438" s="1"/>
      <c r="BB438" s="9" t="str">
        <f t="shared" si="25"/>
        <v>Yes</v>
      </c>
      <c r="BC438" s="9" t="e">
        <f>IF(EFB!$N438=Table1[[#This Row],[ProgramTitle]],"Yes","No")</f>
        <v>#VALUE!</v>
      </c>
      <c r="BD438" s="9" t="e">
        <f>IF(EFB!$S438=Table1[[#This Row],[SeriesEpisodeTitle]],"Yes","No")</f>
        <v>#VALUE!</v>
      </c>
      <c r="BE438" s="11">
        <f t="shared" si="26"/>
        <v>0</v>
      </c>
      <c r="BF438" s="11">
        <f t="shared" si="27"/>
        <v>0</v>
      </c>
      <c r="BH438" s="21" t="e">
        <f>Table1[[#This Row],[StartTime]]+$BG$2</f>
        <v>#VALUE!</v>
      </c>
    </row>
    <row r="439" spans="3:60" x14ac:dyDescent="0.25">
      <c r="C439" s="35"/>
      <c r="G439" s="1"/>
      <c r="H439" s="1"/>
      <c r="I439" s="1"/>
      <c r="J439" s="1"/>
      <c r="K439" s="33"/>
      <c r="L439" s="22"/>
      <c r="M439" s="1"/>
      <c r="N439" s="1"/>
      <c r="O439" s="1"/>
      <c r="P439" s="1"/>
      <c r="Q439" s="1"/>
      <c r="R439" s="1"/>
      <c r="S439" s="1"/>
      <c r="BB439" s="9" t="str">
        <f t="shared" si="25"/>
        <v>Yes</v>
      </c>
      <c r="BC439" s="9" t="e">
        <f>IF(EFB!$N439=Table1[[#This Row],[ProgramTitle]],"Yes","No")</f>
        <v>#VALUE!</v>
      </c>
      <c r="BD439" s="9" t="e">
        <f>IF(EFB!$S439=Table1[[#This Row],[SeriesEpisodeTitle]],"Yes","No")</f>
        <v>#VALUE!</v>
      </c>
      <c r="BE439" s="11">
        <f t="shared" si="26"/>
        <v>0</v>
      </c>
      <c r="BF439" s="11">
        <f t="shared" si="27"/>
        <v>0</v>
      </c>
      <c r="BH439" s="21" t="e">
        <f>Table1[[#This Row],[StartTime]]+$BG$2</f>
        <v>#VALUE!</v>
      </c>
    </row>
    <row r="440" spans="3:60" x14ac:dyDescent="0.25">
      <c r="C440" s="35"/>
      <c r="G440" s="1"/>
      <c r="H440" s="1"/>
      <c r="I440" s="1"/>
      <c r="J440" s="1"/>
      <c r="K440" s="33"/>
      <c r="L440" s="22"/>
      <c r="M440" s="1"/>
      <c r="N440" s="1"/>
      <c r="O440" s="1"/>
      <c r="P440" s="1"/>
      <c r="Q440" s="1"/>
      <c r="R440" s="1"/>
      <c r="S440" s="1"/>
      <c r="BB440" s="9" t="str">
        <f t="shared" si="25"/>
        <v>Yes</v>
      </c>
      <c r="BC440" s="9" t="e">
        <f>IF(EFB!$N440=Table1[[#This Row],[ProgramTitle]],"Yes","No")</f>
        <v>#VALUE!</v>
      </c>
      <c r="BD440" s="9" t="e">
        <f>IF(EFB!$S440=Table1[[#This Row],[SeriesEpisodeTitle]],"Yes","No")</f>
        <v>#VALUE!</v>
      </c>
      <c r="BE440" s="11">
        <f t="shared" si="26"/>
        <v>0</v>
      </c>
      <c r="BF440" s="11">
        <f t="shared" si="27"/>
        <v>0</v>
      </c>
      <c r="BH440" s="21" t="e">
        <f>Table1[[#This Row],[StartTime]]+$BG$2</f>
        <v>#VALUE!</v>
      </c>
    </row>
    <row r="441" spans="3:60" x14ac:dyDescent="0.25">
      <c r="C441" s="35"/>
      <c r="G441" s="1"/>
      <c r="H441" s="1"/>
      <c r="I441" s="1"/>
      <c r="J441" s="1"/>
      <c r="K441" s="33"/>
      <c r="L441" s="22"/>
      <c r="M441" s="1"/>
      <c r="N441" s="1"/>
      <c r="O441" s="1"/>
      <c r="P441" s="1"/>
      <c r="Q441" s="1"/>
      <c r="R441" s="1"/>
      <c r="S441" s="1"/>
      <c r="BB441" s="9" t="str">
        <f t="shared" si="25"/>
        <v>Yes</v>
      </c>
      <c r="BC441" s="9" t="e">
        <f>IF(EFB!$N441=Table1[[#This Row],[ProgramTitle]],"Yes","No")</f>
        <v>#VALUE!</v>
      </c>
      <c r="BD441" s="9" t="e">
        <f>IF(EFB!$S441=Table1[[#This Row],[SeriesEpisodeTitle]],"Yes","No")</f>
        <v>#VALUE!</v>
      </c>
      <c r="BE441" s="11">
        <f t="shared" si="26"/>
        <v>0</v>
      </c>
      <c r="BF441" s="11">
        <f t="shared" si="27"/>
        <v>0</v>
      </c>
      <c r="BH441" s="21" t="e">
        <f>Table1[[#This Row],[StartTime]]+$BG$2</f>
        <v>#VALUE!</v>
      </c>
    </row>
    <row r="442" spans="3:60" x14ac:dyDescent="0.25">
      <c r="C442" s="35"/>
      <c r="G442" s="1"/>
      <c r="H442" s="1"/>
      <c r="I442" s="1"/>
      <c r="J442" s="1"/>
      <c r="K442" s="33"/>
      <c r="L442" s="22"/>
      <c r="M442" s="1"/>
      <c r="N442" s="1"/>
      <c r="O442" s="1"/>
      <c r="P442" s="1"/>
      <c r="Q442" s="1"/>
      <c r="R442" s="1"/>
      <c r="S442" s="1"/>
      <c r="BB442" s="9" t="str">
        <f t="shared" si="25"/>
        <v>Yes</v>
      </c>
      <c r="BC442" s="9" t="e">
        <f>IF(EFB!$N442=Table1[[#This Row],[ProgramTitle]],"Yes","No")</f>
        <v>#VALUE!</v>
      </c>
      <c r="BD442" s="9" t="e">
        <f>IF(EFB!$S442=Table1[[#This Row],[SeriesEpisodeTitle]],"Yes","No")</f>
        <v>#VALUE!</v>
      </c>
      <c r="BE442" s="11">
        <f t="shared" si="26"/>
        <v>0</v>
      </c>
      <c r="BF442" s="11">
        <f t="shared" si="27"/>
        <v>0</v>
      </c>
      <c r="BH442" s="21" t="e">
        <f>Table1[[#This Row],[StartTime]]+$BG$2</f>
        <v>#VALUE!</v>
      </c>
    </row>
    <row r="443" spans="3:60" x14ac:dyDescent="0.25">
      <c r="C443" s="35"/>
      <c r="G443" s="1"/>
      <c r="H443" s="1"/>
      <c r="I443" s="1"/>
      <c r="J443" s="1"/>
      <c r="K443" s="33"/>
      <c r="L443" s="22"/>
      <c r="M443" s="1"/>
      <c r="N443" s="1"/>
      <c r="O443" s="1"/>
      <c r="P443" s="1"/>
      <c r="Q443" s="1"/>
      <c r="R443" s="1"/>
      <c r="S443" s="1"/>
      <c r="BB443" s="9" t="str">
        <f t="shared" si="25"/>
        <v>Yes</v>
      </c>
      <c r="BC443" s="9" t="e">
        <f>IF(EFB!$N443=Table1[[#This Row],[ProgramTitle]],"Yes","No")</f>
        <v>#VALUE!</v>
      </c>
      <c r="BD443" s="9" t="e">
        <f>IF(EFB!$S443=Table1[[#This Row],[SeriesEpisodeTitle]],"Yes","No")</f>
        <v>#VALUE!</v>
      </c>
      <c r="BE443" s="11">
        <f t="shared" si="26"/>
        <v>0</v>
      </c>
      <c r="BF443" s="11">
        <f t="shared" si="27"/>
        <v>0</v>
      </c>
      <c r="BH443" s="21" t="e">
        <f>Table1[[#This Row],[StartTime]]+$BG$2</f>
        <v>#VALUE!</v>
      </c>
    </row>
    <row r="444" spans="3:60" x14ac:dyDescent="0.25">
      <c r="C444" s="35"/>
      <c r="G444" s="1"/>
      <c r="H444" s="1"/>
      <c r="I444" s="1"/>
      <c r="J444" s="1"/>
      <c r="K444" s="33"/>
      <c r="L444" s="22"/>
      <c r="M444" s="1"/>
      <c r="N444" s="1"/>
      <c r="O444" s="1"/>
      <c r="P444" s="1"/>
      <c r="Q444" s="1"/>
      <c r="R444" s="1"/>
      <c r="S444" s="1"/>
      <c r="BB444" s="9" t="str">
        <f t="shared" si="25"/>
        <v>Yes</v>
      </c>
      <c r="BC444" s="9" t="e">
        <f>IF(EFB!$N444=Table1[[#This Row],[ProgramTitle]],"Yes","No")</f>
        <v>#VALUE!</v>
      </c>
      <c r="BD444" s="9" t="e">
        <f>IF(EFB!$S444=Table1[[#This Row],[SeriesEpisodeTitle]],"Yes","No")</f>
        <v>#VALUE!</v>
      </c>
      <c r="BE444" s="11">
        <f t="shared" si="26"/>
        <v>0</v>
      </c>
      <c r="BF444" s="11">
        <f t="shared" si="27"/>
        <v>0</v>
      </c>
      <c r="BH444" s="21" t="e">
        <f>Table1[[#This Row],[StartTime]]+$BG$2</f>
        <v>#VALUE!</v>
      </c>
    </row>
    <row r="445" spans="3:60" x14ac:dyDescent="0.25">
      <c r="C445" s="35"/>
      <c r="G445" s="1"/>
      <c r="H445" s="1"/>
      <c r="I445" s="1"/>
      <c r="J445" s="1"/>
      <c r="K445" s="33"/>
      <c r="L445" s="22"/>
      <c r="M445" s="1"/>
      <c r="N445" s="1"/>
      <c r="O445" s="1"/>
      <c r="P445" s="1"/>
      <c r="Q445" s="1"/>
      <c r="R445" s="1"/>
      <c r="S445" s="1"/>
      <c r="BB445" s="9" t="str">
        <f t="shared" si="25"/>
        <v>Yes</v>
      </c>
      <c r="BC445" s="9" t="e">
        <f>IF(EFB!$N445=Table1[[#This Row],[ProgramTitle]],"Yes","No")</f>
        <v>#VALUE!</v>
      </c>
      <c r="BD445" s="9" t="e">
        <f>IF(EFB!$S445=Table1[[#This Row],[SeriesEpisodeTitle]],"Yes","No")</f>
        <v>#VALUE!</v>
      </c>
      <c r="BE445" s="11">
        <f t="shared" si="26"/>
        <v>0</v>
      </c>
      <c r="BF445" s="11">
        <f t="shared" si="27"/>
        <v>0</v>
      </c>
      <c r="BH445" s="21" t="e">
        <f>Table1[[#This Row],[StartTime]]+$BG$2</f>
        <v>#VALUE!</v>
      </c>
    </row>
    <row r="446" spans="3:60" x14ac:dyDescent="0.25">
      <c r="C446" s="35"/>
      <c r="G446" s="1"/>
      <c r="H446" s="1"/>
      <c r="I446" s="1"/>
      <c r="J446" s="1"/>
      <c r="K446" s="33"/>
      <c r="L446" s="22"/>
      <c r="M446" s="1"/>
      <c r="N446" s="1"/>
      <c r="O446" s="1"/>
      <c r="P446" s="1"/>
      <c r="Q446" s="1"/>
      <c r="R446" s="1"/>
      <c r="S446" s="1"/>
      <c r="BB446" s="9" t="str">
        <f t="shared" si="25"/>
        <v>Yes</v>
      </c>
      <c r="BC446" s="9" t="e">
        <f>IF(EFB!$N446=Table1[[#This Row],[ProgramTitle]],"Yes","No")</f>
        <v>#VALUE!</v>
      </c>
      <c r="BD446" s="9" t="e">
        <f>IF(EFB!$S446=Table1[[#This Row],[SeriesEpisodeTitle]],"Yes","No")</f>
        <v>#VALUE!</v>
      </c>
      <c r="BE446" s="11">
        <f t="shared" si="26"/>
        <v>0</v>
      </c>
      <c r="BF446" s="11">
        <f t="shared" si="27"/>
        <v>0</v>
      </c>
      <c r="BH446" s="21" t="e">
        <f>Table1[[#This Row],[StartTime]]+$BG$2</f>
        <v>#VALUE!</v>
      </c>
    </row>
    <row r="447" spans="3:60" x14ac:dyDescent="0.25">
      <c r="C447" s="35"/>
      <c r="G447" s="1"/>
      <c r="H447" s="1"/>
      <c r="I447" s="1"/>
      <c r="J447" s="1"/>
      <c r="K447" s="33"/>
      <c r="L447" s="22"/>
      <c r="M447" s="1"/>
      <c r="N447" s="1"/>
      <c r="O447" s="1"/>
      <c r="P447" s="1"/>
      <c r="Q447" s="1"/>
      <c r="R447" s="1"/>
      <c r="S447" s="1"/>
      <c r="BB447" s="9" t="str">
        <f t="shared" si="25"/>
        <v>Yes</v>
      </c>
      <c r="BC447" s="9" t="e">
        <f>IF(EFB!$N447=Table1[[#This Row],[ProgramTitle]],"Yes","No")</f>
        <v>#VALUE!</v>
      </c>
      <c r="BD447" s="9" t="e">
        <f>IF(EFB!$S447=Table1[[#This Row],[SeriesEpisodeTitle]],"Yes","No")</f>
        <v>#VALUE!</v>
      </c>
      <c r="BE447" s="11">
        <f t="shared" si="26"/>
        <v>0</v>
      </c>
      <c r="BF447" s="11">
        <f t="shared" si="27"/>
        <v>0</v>
      </c>
      <c r="BH447" s="21" t="e">
        <f>Table1[[#This Row],[StartTime]]+$BG$2</f>
        <v>#VALUE!</v>
      </c>
    </row>
    <row r="448" spans="3:60" x14ac:dyDescent="0.25">
      <c r="C448" s="35"/>
      <c r="G448" s="1"/>
      <c r="H448" s="1"/>
      <c r="I448" s="1"/>
      <c r="J448" s="1"/>
      <c r="K448" s="33"/>
      <c r="L448" s="22"/>
      <c r="M448" s="1"/>
      <c r="N448" s="1"/>
      <c r="O448" s="1"/>
      <c r="P448" s="1"/>
      <c r="Q448" s="1"/>
      <c r="R448" s="1"/>
      <c r="S448" s="1"/>
      <c r="BB448" s="9" t="str">
        <f t="shared" si="25"/>
        <v>Yes</v>
      </c>
      <c r="BC448" s="9" t="e">
        <f>IF(EFB!$N448=Table1[[#This Row],[ProgramTitle]],"Yes","No")</f>
        <v>#VALUE!</v>
      </c>
      <c r="BD448" s="9" t="e">
        <f>IF(EFB!$S448=Table1[[#This Row],[SeriesEpisodeTitle]],"Yes","No")</f>
        <v>#VALUE!</v>
      </c>
      <c r="BE448" s="11">
        <f t="shared" si="26"/>
        <v>0</v>
      </c>
      <c r="BF448" s="11">
        <f t="shared" si="27"/>
        <v>0</v>
      </c>
      <c r="BH448" s="21" t="e">
        <f>Table1[[#This Row],[StartTime]]+$BG$2</f>
        <v>#VALUE!</v>
      </c>
    </row>
    <row r="449" spans="3:60" x14ac:dyDescent="0.25">
      <c r="C449" s="35"/>
      <c r="G449" s="1"/>
      <c r="H449" s="1"/>
      <c r="I449" s="1"/>
      <c r="J449" s="1"/>
      <c r="K449" s="33"/>
      <c r="L449" s="22"/>
      <c r="M449" s="1"/>
      <c r="N449" s="1"/>
      <c r="O449" s="1"/>
      <c r="P449" s="1"/>
      <c r="Q449" s="1"/>
      <c r="R449" s="1"/>
      <c r="S449" s="1"/>
      <c r="BB449" s="9" t="str">
        <f t="shared" si="25"/>
        <v>Yes</v>
      </c>
      <c r="BC449" s="9" t="e">
        <f>IF(EFB!$N449=Table1[[#This Row],[ProgramTitle]],"Yes","No")</f>
        <v>#VALUE!</v>
      </c>
      <c r="BD449" s="9" t="e">
        <f>IF(EFB!$S449=Table1[[#This Row],[SeriesEpisodeTitle]],"Yes","No")</f>
        <v>#VALUE!</v>
      </c>
      <c r="BE449" s="11">
        <f t="shared" si="26"/>
        <v>0</v>
      </c>
      <c r="BF449" s="11">
        <f t="shared" si="27"/>
        <v>0</v>
      </c>
      <c r="BH449" s="21" t="e">
        <f>Table1[[#This Row],[StartTime]]+$BG$2</f>
        <v>#VALUE!</v>
      </c>
    </row>
    <row r="450" spans="3:60" x14ac:dyDescent="0.25">
      <c r="C450" s="35"/>
      <c r="G450" s="1"/>
      <c r="H450" s="1"/>
      <c r="I450" s="1"/>
      <c r="J450" s="1"/>
      <c r="K450" s="33"/>
      <c r="L450" s="22"/>
      <c r="M450" s="1"/>
      <c r="N450" s="1"/>
      <c r="O450" s="1"/>
      <c r="P450" s="1"/>
      <c r="Q450" s="1"/>
      <c r="R450" s="1"/>
      <c r="S450" s="1"/>
      <c r="BB450" s="9" t="str">
        <f t="shared" si="25"/>
        <v>Yes</v>
      </c>
      <c r="BC450" s="9" t="e">
        <f>IF(EFB!$N450=Table1[[#This Row],[ProgramTitle]],"Yes","No")</f>
        <v>#VALUE!</v>
      </c>
      <c r="BD450" s="9" t="e">
        <f>IF(EFB!$S450=Table1[[#This Row],[SeriesEpisodeTitle]],"Yes","No")</f>
        <v>#VALUE!</v>
      </c>
      <c r="BE450" s="11">
        <f t="shared" si="26"/>
        <v>0</v>
      </c>
      <c r="BF450" s="11">
        <f t="shared" si="27"/>
        <v>0</v>
      </c>
      <c r="BH450" s="21" t="e">
        <f>Table1[[#This Row],[StartTime]]+$BG$2</f>
        <v>#VALUE!</v>
      </c>
    </row>
    <row r="451" spans="3:60" x14ac:dyDescent="0.25">
      <c r="C451" s="35"/>
      <c r="G451" s="1"/>
      <c r="H451" s="1"/>
      <c r="I451" s="1"/>
      <c r="J451" s="1"/>
      <c r="K451" s="33"/>
      <c r="L451" s="22"/>
      <c r="M451" s="1"/>
      <c r="N451" s="1"/>
      <c r="O451" s="1"/>
      <c r="P451" s="1"/>
      <c r="Q451" s="1"/>
      <c r="R451" s="1"/>
      <c r="S451" s="1"/>
      <c r="BB451" s="9" t="str">
        <f t="shared" si="25"/>
        <v>Yes</v>
      </c>
      <c r="BC451" s="9" t="e">
        <f>IF(EFB!$N451=Table1[[#This Row],[ProgramTitle]],"Yes","No")</f>
        <v>#VALUE!</v>
      </c>
      <c r="BD451" s="9" t="e">
        <f>IF(EFB!$S451=Table1[[#This Row],[SeriesEpisodeTitle]],"Yes","No")</f>
        <v>#VALUE!</v>
      </c>
      <c r="BE451" s="11">
        <f t="shared" si="26"/>
        <v>0</v>
      </c>
      <c r="BF451" s="11">
        <f t="shared" si="27"/>
        <v>0</v>
      </c>
      <c r="BH451" s="21" t="e">
        <f>Table1[[#This Row],[StartTime]]+$BG$2</f>
        <v>#VALUE!</v>
      </c>
    </row>
    <row r="452" spans="3:60" x14ac:dyDescent="0.25">
      <c r="C452" s="35"/>
      <c r="G452" s="1"/>
      <c r="H452" s="1"/>
      <c r="I452" s="1"/>
      <c r="J452" s="1"/>
      <c r="K452" s="33"/>
      <c r="L452" s="22"/>
      <c r="M452" s="1"/>
      <c r="N452" s="1"/>
      <c r="O452" s="1"/>
      <c r="P452" s="1"/>
      <c r="Q452" s="1"/>
      <c r="R452" s="1"/>
      <c r="S452" s="1"/>
      <c r="BB452" s="9" t="str">
        <f t="shared" si="25"/>
        <v>Yes</v>
      </c>
      <c r="BC452" s="9" t="e">
        <f>IF(EFB!$N452=Table1[[#This Row],[ProgramTitle]],"Yes","No")</f>
        <v>#VALUE!</v>
      </c>
      <c r="BD452" s="9" t="e">
        <f>IF(EFB!$S452=Table1[[#This Row],[SeriesEpisodeTitle]],"Yes","No")</f>
        <v>#VALUE!</v>
      </c>
      <c r="BE452" s="11">
        <f t="shared" si="26"/>
        <v>0</v>
      </c>
      <c r="BF452" s="11">
        <f t="shared" si="27"/>
        <v>0</v>
      </c>
      <c r="BH452" s="21" t="e">
        <f>Table1[[#This Row],[StartTime]]+$BG$2</f>
        <v>#VALUE!</v>
      </c>
    </row>
    <row r="453" spans="3:60" x14ac:dyDescent="0.25">
      <c r="C453" s="35"/>
      <c r="G453" s="1"/>
      <c r="H453" s="1"/>
      <c r="I453" s="1"/>
      <c r="J453" s="1"/>
      <c r="K453" s="33"/>
      <c r="L453" s="22"/>
      <c r="M453" s="1"/>
      <c r="N453" s="1"/>
      <c r="O453" s="1"/>
      <c r="P453" s="1"/>
      <c r="Q453" s="1"/>
      <c r="R453" s="1"/>
      <c r="S453" s="1"/>
      <c r="BB453" s="9" t="str">
        <f t="shared" si="25"/>
        <v>Yes</v>
      </c>
      <c r="BC453" s="9" t="e">
        <f>IF(EFB!$N453=Table1[[#This Row],[ProgramTitle]],"Yes","No")</f>
        <v>#VALUE!</v>
      </c>
      <c r="BD453" s="9" t="e">
        <f>IF(EFB!$S453=Table1[[#This Row],[SeriesEpisodeTitle]],"Yes","No")</f>
        <v>#VALUE!</v>
      </c>
      <c r="BE453" s="11">
        <f t="shared" si="26"/>
        <v>0</v>
      </c>
      <c r="BF453" s="11">
        <f t="shared" si="27"/>
        <v>0</v>
      </c>
      <c r="BH453" s="21" t="e">
        <f>Table1[[#This Row],[StartTime]]+$BG$2</f>
        <v>#VALUE!</v>
      </c>
    </row>
    <row r="454" spans="3:60" x14ac:dyDescent="0.25">
      <c r="C454" s="35"/>
      <c r="G454" s="1"/>
      <c r="H454" s="1"/>
      <c r="I454" s="1"/>
      <c r="J454" s="1"/>
      <c r="K454" s="33"/>
      <c r="L454" s="22"/>
      <c r="M454" s="1"/>
      <c r="N454" s="1"/>
      <c r="O454" s="1"/>
      <c r="P454" s="1"/>
      <c r="Q454" s="1"/>
      <c r="R454" s="1"/>
      <c r="S454" s="1"/>
      <c r="BB454" s="9" t="str">
        <f t="shared" si="25"/>
        <v>Yes</v>
      </c>
      <c r="BC454" s="9" t="e">
        <f>IF(EFB!$N454=Table1[[#This Row],[ProgramTitle]],"Yes","No")</f>
        <v>#VALUE!</v>
      </c>
      <c r="BD454" s="9" t="e">
        <f>IF(EFB!$S454=Table1[[#This Row],[SeriesEpisodeTitle]],"Yes","No")</f>
        <v>#VALUE!</v>
      </c>
      <c r="BE454" s="11">
        <f t="shared" si="26"/>
        <v>0</v>
      </c>
      <c r="BF454" s="11">
        <f t="shared" si="27"/>
        <v>0</v>
      </c>
      <c r="BH454" s="21" t="e">
        <f>Table1[[#This Row],[StartTime]]+$BG$2</f>
        <v>#VALUE!</v>
      </c>
    </row>
    <row r="455" spans="3:60" x14ac:dyDescent="0.25">
      <c r="C455" s="35"/>
      <c r="G455" s="1"/>
      <c r="H455" s="1"/>
      <c r="I455" s="1"/>
      <c r="J455" s="1"/>
      <c r="K455" s="33"/>
      <c r="L455" s="22"/>
      <c r="M455" s="1"/>
      <c r="N455" s="1"/>
      <c r="O455" s="1"/>
      <c r="P455" s="1"/>
      <c r="Q455" s="1"/>
      <c r="R455" s="1"/>
      <c r="S455" s="1"/>
      <c r="BB455" s="9" t="str">
        <f t="shared" si="25"/>
        <v>Yes</v>
      </c>
      <c r="BC455" s="9" t="e">
        <f>IF(EFB!$N455=Table1[[#This Row],[ProgramTitle]],"Yes","No")</f>
        <v>#VALUE!</v>
      </c>
      <c r="BD455" s="9" t="e">
        <f>IF(EFB!$S455=Table1[[#This Row],[SeriesEpisodeTitle]],"Yes","No")</f>
        <v>#VALUE!</v>
      </c>
      <c r="BE455" s="11">
        <f t="shared" si="26"/>
        <v>0</v>
      </c>
      <c r="BF455" s="11">
        <f t="shared" si="27"/>
        <v>0</v>
      </c>
      <c r="BH455" s="21" t="e">
        <f>Table1[[#This Row],[StartTime]]+$BG$2</f>
        <v>#VALUE!</v>
      </c>
    </row>
    <row r="456" spans="3:60" x14ac:dyDescent="0.25">
      <c r="C456" s="35"/>
      <c r="G456" s="1"/>
      <c r="H456" s="1"/>
      <c r="I456" s="1"/>
      <c r="J456" s="1"/>
      <c r="K456" s="33"/>
      <c r="L456" s="22"/>
      <c r="M456" s="1"/>
      <c r="N456" s="1"/>
      <c r="O456" s="1"/>
      <c r="P456" s="1"/>
      <c r="Q456" s="1"/>
      <c r="R456" s="1"/>
      <c r="S456" s="1"/>
      <c r="BB456" s="9" t="str">
        <f t="shared" si="25"/>
        <v>Yes</v>
      </c>
      <c r="BC456" s="9" t="e">
        <f>IF(EFB!$N456=Table1[[#This Row],[ProgramTitle]],"Yes","No")</f>
        <v>#VALUE!</v>
      </c>
      <c r="BD456" s="9" t="e">
        <f>IF(EFB!$S456=Table1[[#This Row],[SeriesEpisodeTitle]],"Yes","No")</f>
        <v>#VALUE!</v>
      </c>
      <c r="BE456" s="11">
        <f t="shared" si="26"/>
        <v>0</v>
      </c>
      <c r="BF456" s="11">
        <f t="shared" si="27"/>
        <v>0</v>
      </c>
      <c r="BH456" s="21" t="e">
        <f>Table1[[#This Row],[StartTime]]+$BG$2</f>
        <v>#VALUE!</v>
      </c>
    </row>
    <row r="457" spans="3:60" x14ac:dyDescent="0.25">
      <c r="C457" s="35"/>
      <c r="G457" s="1"/>
      <c r="H457" s="1"/>
      <c r="I457" s="1"/>
      <c r="J457" s="1"/>
      <c r="K457" s="33"/>
      <c r="L457" s="22"/>
      <c r="M457" s="1"/>
      <c r="N457" s="1"/>
      <c r="O457" s="1"/>
      <c r="P457" s="1"/>
      <c r="Q457" s="1"/>
      <c r="R457" s="1"/>
      <c r="S457" s="1"/>
      <c r="BB457" s="9" t="str">
        <f t="shared" si="25"/>
        <v>Yes</v>
      </c>
      <c r="BC457" s="9" t="e">
        <f>IF(EFB!$N457=Table1[[#This Row],[ProgramTitle]],"Yes","No")</f>
        <v>#VALUE!</v>
      </c>
      <c r="BD457" s="9" t="e">
        <f>IF(EFB!$S457=Table1[[#This Row],[SeriesEpisodeTitle]],"Yes","No")</f>
        <v>#VALUE!</v>
      </c>
      <c r="BE457" s="11">
        <f t="shared" si="26"/>
        <v>0</v>
      </c>
      <c r="BF457" s="11">
        <f t="shared" si="27"/>
        <v>0</v>
      </c>
      <c r="BH457" s="21" t="e">
        <f>Table1[[#This Row],[StartTime]]+$BG$2</f>
        <v>#VALUE!</v>
      </c>
    </row>
    <row r="458" spans="3:60" x14ac:dyDescent="0.25">
      <c r="C458" s="35"/>
      <c r="G458" s="1"/>
      <c r="H458" s="1"/>
      <c r="I458" s="1"/>
      <c r="J458" s="1"/>
      <c r="K458" s="33"/>
      <c r="L458" s="22"/>
      <c r="M458" s="1"/>
      <c r="N458" s="1"/>
      <c r="O458" s="1"/>
      <c r="P458" s="1"/>
      <c r="Q458" s="1"/>
      <c r="R458" s="1"/>
      <c r="S458" s="1"/>
      <c r="BB458" s="9" t="str">
        <f t="shared" si="25"/>
        <v>Yes</v>
      </c>
      <c r="BC458" s="9" t="e">
        <f>IF(EFB!$N458=Table1[[#This Row],[ProgramTitle]],"Yes","No")</f>
        <v>#VALUE!</v>
      </c>
      <c r="BD458" s="9" t="e">
        <f>IF(EFB!$S458=Table1[[#This Row],[SeriesEpisodeTitle]],"Yes","No")</f>
        <v>#VALUE!</v>
      </c>
      <c r="BE458" s="11">
        <f t="shared" si="26"/>
        <v>0</v>
      </c>
      <c r="BF458" s="11">
        <f t="shared" si="27"/>
        <v>0</v>
      </c>
      <c r="BH458" s="21" t="e">
        <f>Table1[[#This Row],[StartTime]]+$BG$2</f>
        <v>#VALUE!</v>
      </c>
    </row>
    <row r="459" spans="3:60" x14ac:dyDescent="0.25">
      <c r="C459" s="35"/>
      <c r="G459" s="1"/>
      <c r="H459" s="1"/>
      <c r="I459" s="1"/>
      <c r="J459" s="1"/>
      <c r="K459" s="33"/>
      <c r="L459" s="22"/>
      <c r="M459" s="1"/>
      <c r="N459" s="1"/>
      <c r="O459" s="1"/>
      <c r="P459" s="1"/>
      <c r="Q459" s="1"/>
      <c r="R459" s="1"/>
      <c r="S459" s="1"/>
      <c r="BB459" s="9" t="str">
        <f t="shared" si="25"/>
        <v>Yes</v>
      </c>
      <c r="BC459" s="9" t="e">
        <f>IF(EFB!$N459=Table1[[#This Row],[ProgramTitle]],"Yes","No")</f>
        <v>#VALUE!</v>
      </c>
      <c r="BD459" s="9" t="e">
        <f>IF(EFB!$S459=Table1[[#This Row],[SeriesEpisodeTitle]],"Yes","No")</f>
        <v>#VALUE!</v>
      </c>
      <c r="BE459" s="11">
        <f t="shared" si="26"/>
        <v>0</v>
      </c>
      <c r="BF459" s="11">
        <f t="shared" si="27"/>
        <v>0</v>
      </c>
      <c r="BH459" s="21" t="e">
        <f>Table1[[#This Row],[StartTime]]+$BG$2</f>
        <v>#VALUE!</v>
      </c>
    </row>
    <row r="460" spans="3:60" x14ac:dyDescent="0.25">
      <c r="C460" s="35"/>
      <c r="G460" s="1"/>
      <c r="H460" s="1"/>
      <c r="I460" s="1"/>
      <c r="J460" s="1"/>
      <c r="K460" s="33"/>
      <c r="L460" s="22"/>
      <c r="M460" s="1"/>
      <c r="N460" s="1"/>
      <c r="O460" s="1"/>
      <c r="P460" s="1"/>
      <c r="Q460" s="1"/>
      <c r="R460" s="1"/>
      <c r="S460" s="1"/>
      <c r="BB460" s="9" t="str">
        <f t="shared" si="25"/>
        <v>Yes</v>
      </c>
      <c r="BC460" s="9" t="e">
        <f>IF(EFB!$N460=Table1[[#This Row],[ProgramTitle]],"Yes","No")</f>
        <v>#VALUE!</v>
      </c>
      <c r="BD460" s="9" t="e">
        <f>IF(EFB!$S460=Table1[[#This Row],[SeriesEpisodeTitle]],"Yes","No")</f>
        <v>#VALUE!</v>
      </c>
      <c r="BE460" s="11">
        <f t="shared" si="26"/>
        <v>0</v>
      </c>
      <c r="BF460" s="11">
        <f t="shared" si="27"/>
        <v>0</v>
      </c>
      <c r="BH460" s="21" t="e">
        <f>Table1[[#This Row],[StartTime]]+$BG$2</f>
        <v>#VALUE!</v>
      </c>
    </row>
    <row r="461" spans="3:60" x14ac:dyDescent="0.25">
      <c r="C461" s="35"/>
      <c r="G461" s="1"/>
      <c r="H461" s="1"/>
      <c r="I461" s="1"/>
      <c r="J461" s="1"/>
      <c r="K461" s="33"/>
      <c r="L461" s="22"/>
      <c r="M461" s="1"/>
      <c r="N461" s="1"/>
      <c r="O461" s="1"/>
      <c r="P461" s="1"/>
      <c r="Q461" s="1"/>
      <c r="R461" s="1"/>
      <c r="S461" s="1"/>
      <c r="BB461" s="9" t="str">
        <f t="shared" si="25"/>
        <v>Yes</v>
      </c>
      <c r="BC461" s="9" t="e">
        <f>IF(EFB!$N461=Table1[[#This Row],[ProgramTitle]],"Yes","No")</f>
        <v>#VALUE!</v>
      </c>
      <c r="BD461" s="9" t="e">
        <f>IF(EFB!$S461=Table1[[#This Row],[SeriesEpisodeTitle]],"Yes","No")</f>
        <v>#VALUE!</v>
      </c>
      <c r="BE461" s="11">
        <f t="shared" si="26"/>
        <v>0</v>
      </c>
      <c r="BF461" s="11">
        <f t="shared" si="27"/>
        <v>0</v>
      </c>
      <c r="BH461" s="21" t="e">
        <f>Table1[[#This Row],[StartTime]]+$BG$2</f>
        <v>#VALUE!</v>
      </c>
    </row>
    <row r="462" spans="3:60" x14ac:dyDescent="0.25">
      <c r="C462" s="35"/>
      <c r="G462" s="1"/>
      <c r="H462" s="1"/>
      <c r="I462" s="1"/>
      <c r="J462" s="1"/>
      <c r="K462" s="33"/>
      <c r="L462" s="22"/>
      <c r="M462" s="1"/>
      <c r="N462" s="1"/>
      <c r="O462" s="1"/>
      <c r="P462" s="1"/>
      <c r="Q462" s="1"/>
      <c r="R462" s="1"/>
      <c r="S462" s="1"/>
      <c r="BB462" s="9" t="str">
        <f t="shared" si="25"/>
        <v>Yes</v>
      </c>
      <c r="BC462" s="9" t="e">
        <f>IF(EFB!$N462=Table1[[#This Row],[ProgramTitle]],"Yes","No")</f>
        <v>#VALUE!</v>
      </c>
      <c r="BD462" s="9" t="e">
        <f>IF(EFB!$S462=Table1[[#This Row],[SeriesEpisodeTitle]],"Yes","No")</f>
        <v>#VALUE!</v>
      </c>
      <c r="BE462" s="11">
        <f t="shared" si="26"/>
        <v>0</v>
      </c>
      <c r="BF462" s="11">
        <f t="shared" si="27"/>
        <v>0</v>
      </c>
      <c r="BH462" s="21" t="e">
        <f>Table1[[#This Row],[StartTime]]+$BG$2</f>
        <v>#VALUE!</v>
      </c>
    </row>
    <row r="463" spans="3:60" x14ac:dyDescent="0.25">
      <c r="C463" s="35"/>
      <c r="G463" s="1"/>
      <c r="H463" s="1"/>
      <c r="I463" s="1"/>
      <c r="J463" s="1"/>
      <c r="K463" s="33"/>
      <c r="L463" s="22"/>
      <c r="M463" s="1"/>
      <c r="N463" s="1"/>
      <c r="O463" s="1"/>
      <c r="P463" s="1"/>
      <c r="Q463" s="1"/>
      <c r="R463" s="1"/>
      <c r="S463" s="1"/>
      <c r="BB463" s="9" t="str">
        <f t="shared" si="25"/>
        <v>Yes</v>
      </c>
      <c r="BC463" s="9" t="e">
        <f>IF(EFB!$N463=Table1[[#This Row],[ProgramTitle]],"Yes","No")</f>
        <v>#VALUE!</v>
      </c>
      <c r="BD463" s="9" t="e">
        <f>IF(EFB!$S463=Table1[[#This Row],[SeriesEpisodeTitle]],"Yes","No")</f>
        <v>#VALUE!</v>
      </c>
      <c r="BE463" s="11">
        <f t="shared" si="26"/>
        <v>0</v>
      </c>
      <c r="BF463" s="11">
        <f t="shared" si="27"/>
        <v>0</v>
      </c>
      <c r="BH463" s="21" t="e">
        <f>Table1[[#This Row],[StartTime]]+$BG$2</f>
        <v>#VALUE!</v>
      </c>
    </row>
    <row r="464" spans="3:60" x14ac:dyDescent="0.25">
      <c r="C464" s="35"/>
      <c r="G464" s="1"/>
      <c r="H464" s="1"/>
      <c r="I464" s="1"/>
      <c r="J464" s="1"/>
      <c r="K464" s="33"/>
      <c r="L464" s="22"/>
      <c r="M464" s="1"/>
      <c r="N464" s="1"/>
      <c r="O464" s="1"/>
      <c r="P464" s="1"/>
      <c r="Q464" s="1"/>
      <c r="R464" s="1"/>
      <c r="S464" s="1"/>
      <c r="BB464" s="9" t="str">
        <f t="shared" si="25"/>
        <v>Yes</v>
      </c>
      <c r="BC464" s="9" t="e">
        <f>IF(EFB!$N464=Table1[[#This Row],[ProgramTitle]],"Yes","No")</f>
        <v>#VALUE!</v>
      </c>
      <c r="BD464" s="9" t="e">
        <f>IF(EFB!$S464=Table1[[#This Row],[SeriesEpisodeTitle]],"Yes","No")</f>
        <v>#VALUE!</v>
      </c>
      <c r="BE464" s="11">
        <f t="shared" si="26"/>
        <v>0</v>
      </c>
      <c r="BF464" s="11">
        <f t="shared" si="27"/>
        <v>0</v>
      </c>
      <c r="BH464" s="21" t="e">
        <f>Table1[[#This Row],[StartTime]]+$BG$2</f>
        <v>#VALUE!</v>
      </c>
    </row>
    <row r="465" spans="3:60" x14ac:dyDescent="0.25">
      <c r="C465" s="35"/>
      <c r="G465" s="1"/>
      <c r="H465" s="1"/>
      <c r="I465" s="1"/>
      <c r="J465" s="1"/>
      <c r="K465" s="33"/>
      <c r="L465" s="22"/>
      <c r="M465" s="1"/>
      <c r="N465" s="1"/>
      <c r="O465" s="1"/>
      <c r="P465" s="1"/>
      <c r="Q465" s="1"/>
      <c r="R465" s="1"/>
      <c r="S465" s="1"/>
      <c r="BB465" s="9" t="str">
        <f t="shared" si="25"/>
        <v>Yes</v>
      </c>
      <c r="BC465" s="9" t="e">
        <f>IF(EFB!$N465=Table1[[#This Row],[ProgramTitle]],"Yes","No")</f>
        <v>#VALUE!</v>
      </c>
      <c r="BD465" s="9" t="e">
        <f>IF(EFB!$S465=Table1[[#This Row],[SeriesEpisodeTitle]],"Yes","No")</f>
        <v>#VALUE!</v>
      </c>
      <c r="BE465" s="11">
        <f t="shared" si="26"/>
        <v>0</v>
      </c>
      <c r="BF465" s="11">
        <f t="shared" si="27"/>
        <v>0</v>
      </c>
      <c r="BH465" s="21" t="e">
        <f>Table1[[#This Row],[StartTime]]+$BG$2</f>
        <v>#VALUE!</v>
      </c>
    </row>
    <row r="466" spans="3:60" x14ac:dyDescent="0.25">
      <c r="C466" s="35"/>
      <c r="G466" s="1"/>
      <c r="H466" s="1"/>
      <c r="I466" s="1"/>
      <c r="J466" s="1"/>
      <c r="K466" s="33"/>
      <c r="L466" s="22"/>
      <c r="M466" s="1"/>
      <c r="N466" s="1"/>
      <c r="O466" s="1"/>
      <c r="P466" s="1"/>
      <c r="Q466" s="1"/>
      <c r="R466" s="1"/>
      <c r="S466" s="1"/>
      <c r="BB466" s="9" t="str">
        <f t="shared" si="25"/>
        <v>Yes</v>
      </c>
      <c r="BC466" s="9" t="e">
        <f>IF(EFB!$N466=Table1[[#This Row],[ProgramTitle]],"Yes","No")</f>
        <v>#VALUE!</v>
      </c>
      <c r="BD466" s="9" t="e">
        <f>IF(EFB!$S466=Table1[[#This Row],[SeriesEpisodeTitle]],"Yes","No")</f>
        <v>#VALUE!</v>
      </c>
      <c r="BE466" s="11">
        <f t="shared" si="26"/>
        <v>0</v>
      </c>
      <c r="BF466" s="11">
        <f t="shared" si="27"/>
        <v>0</v>
      </c>
      <c r="BH466" s="21" t="e">
        <f>Table1[[#This Row],[StartTime]]+$BG$2</f>
        <v>#VALUE!</v>
      </c>
    </row>
    <row r="467" spans="3:60" x14ac:dyDescent="0.25">
      <c r="C467" s="35"/>
      <c r="G467" s="1"/>
      <c r="H467" s="1"/>
      <c r="I467" s="1"/>
      <c r="J467" s="1"/>
      <c r="K467" s="33"/>
      <c r="L467" s="22"/>
      <c r="M467" s="1"/>
      <c r="N467" s="1"/>
      <c r="O467" s="1"/>
      <c r="P467" s="1"/>
      <c r="Q467" s="1"/>
      <c r="R467" s="1"/>
      <c r="S467" s="1"/>
      <c r="BB467" s="9" t="str">
        <f t="shared" si="25"/>
        <v>Yes</v>
      </c>
      <c r="BC467" s="9" t="e">
        <f>IF(EFB!$N467=Table1[[#This Row],[ProgramTitle]],"Yes","No")</f>
        <v>#VALUE!</v>
      </c>
      <c r="BD467" s="9" t="e">
        <f>IF(EFB!$S467=Table1[[#This Row],[SeriesEpisodeTitle]],"Yes","No")</f>
        <v>#VALUE!</v>
      </c>
      <c r="BE467" s="11">
        <f t="shared" si="26"/>
        <v>0</v>
      </c>
      <c r="BF467" s="11">
        <f t="shared" si="27"/>
        <v>0</v>
      </c>
      <c r="BH467" s="21" t="e">
        <f>Table1[[#This Row],[StartTime]]+$BG$2</f>
        <v>#VALUE!</v>
      </c>
    </row>
    <row r="468" spans="3:60" x14ac:dyDescent="0.25">
      <c r="C468" s="35"/>
      <c r="G468" s="1"/>
      <c r="H468" s="1"/>
      <c r="I468" s="1"/>
      <c r="J468" s="1"/>
      <c r="K468" s="33"/>
      <c r="L468" s="22"/>
      <c r="M468" s="1"/>
      <c r="N468" s="1"/>
      <c r="O468" s="1"/>
      <c r="P468" s="1"/>
      <c r="Q468" s="1"/>
      <c r="R468" s="1"/>
      <c r="S468" s="1"/>
      <c r="BB468" s="9" t="str">
        <f t="shared" si="25"/>
        <v>Yes</v>
      </c>
      <c r="BC468" s="9" t="e">
        <f>IF(EFB!$N468=Table1[[#This Row],[ProgramTitle]],"Yes","No")</f>
        <v>#VALUE!</v>
      </c>
      <c r="BD468" s="9" t="e">
        <f>IF(EFB!$S468=Table1[[#This Row],[SeriesEpisodeTitle]],"Yes","No")</f>
        <v>#VALUE!</v>
      </c>
      <c r="BE468" s="11">
        <f t="shared" si="26"/>
        <v>0</v>
      </c>
      <c r="BF468" s="11">
        <f t="shared" si="27"/>
        <v>0</v>
      </c>
      <c r="BH468" s="21" t="e">
        <f>Table1[[#This Row],[StartTime]]+$BG$2</f>
        <v>#VALUE!</v>
      </c>
    </row>
    <row r="469" spans="3:60" x14ac:dyDescent="0.25">
      <c r="C469" s="35"/>
      <c r="G469" s="1"/>
      <c r="H469" s="1"/>
      <c r="I469" s="1"/>
      <c r="J469" s="1"/>
      <c r="K469" s="33"/>
      <c r="L469" s="22"/>
      <c r="M469" s="1"/>
      <c r="N469" s="1"/>
      <c r="O469" s="1"/>
      <c r="P469" s="1"/>
      <c r="Q469" s="1"/>
      <c r="R469" s="1"/>
      <c r="S469" s="1"/>
      <c r="BB469" s="9" t="str">
        <f t="shared" si="25"/>
        <v>Yes</v>
      </c>
      <c r="BC469" s="9" t="e">
        <f>IF(EFB!$N469=Table1[[#This Row],[ProgramTitle]],"Yes","No")</f>
        <v>#VALUE!</v>
      </c>
      <c r="BD469" s="9" t="e">
        <f>IF(EFB!$S469=Table1[[#This Row],[SeriesEpisodeTitle]],"Yes","No")</f>
        <v>#VALUE!</v>
      </c>
      <c r="BE469" s="11">
        <f t="shared" si="26"/>
        <v>0</v>
      </c>
      <c r="BF469" s="11">
        <f t="shared" si="27"/>
        <v>0</v>
      </c>
      <c r="BH469" s="21" t="e">
        <f>Table1[[#This Row],[StartTime]]+$BG$2</f>
        <v>#VALUE!</v>
      </c>
    </row>
    <row r="470" spans="3:60" x14ac:dyDescent="0.25">
      <c r="C470" s="35"/>
      <c r="G470" s="1"/>
      <c r="H470" s="1"/>
      <c r="I470" s="1"/>
      <c r="J470" s="1"/>
      <c r="K470" s="33"/>
      <c r="L470" s="22"/>
      <c r="M470" s="1"/>
      <c r="N470" s="1"/>
      <c r="O470" s="1"/>
      <c r="P470" s="1"/>
      <c r="Q470" s="1"/>
      <c r="R470" s="1"/>
      <c r="S470" s="1"/>
      <c r="BB470" s="9" t="str">
        <f t="shared" si="25"/>
        <v>Yes</v>
      </c>
      <c r="BC470" s="9" t="e">
        <f>IF(EFB!$N470=Table1[[#This Row],[ProgramTitle]],"Yes","No")</f>
        <v>#VALUE!</v>
      </c>
      <c r="BD470" s="9" t="e">
        <f>IF(EFB!$S470=Table1[[#This Row],[SeriesEpisodeTitle]],"Yes","No")</f>
        <v>#VALUE!</v>
      </c>
      <c r="BE470" s="11">
        <f t="shared" si="26"/>
        <v>0</v>
      </c>
      <c r="BF470" s="11">
        <f t="shared" si="27"/>
        <v>0</v>
      </c>
      <c r="BH470" s="21" t="e">
        <f>Table1[[#This Row],[StartTime]]+$BG$2</f>
        <v>#VALUE!</v>
      </c>
    </row>
    <row r="471" spans="3:60" x14ac:dyDescent="0.25">
      <c r="C471" s="35"/>
      <c r="G471" s="1"/>
      <c r="H471" s="1"/>
      <c r="I471" s="1"/>
      <c r="J471" s="1"/>
      <c r="K471" s="33"/>
      <c r="L471" s="22"/>
      <c r="M471" s="1"/>
      <c r="N471" s="1"/>
      <c r="O471" s="1"/>
      <c r="P471" s="1"/>
      <c r="Q471" s="1"/>
      <c r="R471" s="1"/>
      <c r="S471" s="1"/>
      <c r="BB471" s="9" t="str">
        <f t="shared" si="25"/>
        <v>Yes</v>
      </c>
      <c r="BC471" s="9" t="e">
        <f>IF(EFB!$N471=Table1[[#This Row],[ProgramTitle]],"Yes","No")</f>
        <v>#VALUE!</v>
      </c>
      <c r="BD471" s="9" t="e">
        <f>IF(EFB!$S471=Table1[[#This Row],[SeriesEpisodeTitle]],"Yes","No")</f>
        <v>#VALUE!</v>
      </c>
      <c r="BE471" s="11">
        <f t="shared" si="26"/>
        <v>0</v>
      </c>
      <c r="BF471" s="11">
        <f t="shared" si="27"/>
        <v>0</v>
      </c>
      <c r="BH471" s="21" t="e">
        <f>Table1[[#This Row],[StartTime]]+$BG$2</f>
        <v>#VALUE!</v>
      </c>
    </row>
    <row r="472" spans="3:60" x14ac:dyDescent="0.25">
      <c r="C472" s="35"/>
      <c r="G472" s="1"/>
      <c r="H472" s="1"/>
      <c r="I472" s="1"/>
      <c r="J472" s="1"/>
      <c r="K472" s="33"/>
      <c r="L472" s="22"/>
      <c r="M472" s="1"/>
      <c r="N472" s="1"/>
      <c r="O472" s="1"/>
      <c r="P472" s="1"/>
      <c r="Q472" s="1"/>
      <c r="R472" s="1"/>
      <c r="S472" s="1"/>
      <c r="BB472" s="9" t="str">
        <f t="shared" si="25"/>
        <v>Yes</v>
      </c>
      <c r="BC472" s="9" t="e">
        <f>IF(EFB!$N472=Table1[[#This Row],[ProgramTitle]],"Yes","No")</f>
        <v>#VALUE!</v>
      </c>
      <c r="BD472" s="9" t="e">
        <f>IF(EFB!$S472=Table1[[#This Row],[SeriesEpisodeTitle]],"Yes","No")</f>
        <v>#VALUE!</v>
      </c>
      <c r="BE472" s="11">
        <f t="shared" si="26"/>
        <v>0</v>
      </c>
      <c r="BF472" s="11">
        <f t="shared" si="27"/>
        <v>0</v>
      </c>
      <c r="BH472" s="21" t="e">
        <f>Table1[[#This Row],[StartTime]]+$BG$2</f>
        <v>#VALUE!</v>
      </c>
    </row>
    <row r="473" spans="3:60" x14ac:dyDescent="0.25">
      <c r="C473" s="35"/>
      <c r="G473" s="1"/>
      <c r="H473" s="1"/>
      <c r="I473" s="1"/>
      <c r="J473" s="1"/>
      <c r="K473" s="33"/>
      <c r="L473" s="22"/>
      <c r="M473" s="1"/>
      <c r="N473" s="1"/>
      <c r="O473" s="1"/>
      <c r="P473" s="1"/>
      <c r="Q473" s="1"/>
      <c r="R473" s="1"/>
      <c r="S473" s="1"/>
      <c r="BB473" s="9" t="str">
        <f t="shared" si="25"/>
        <v>Yes</v>
      </c>
      <c r="BC473" s="9" t="e">
        <f>IF(EFB!$N473=Table1[[#This Row],[ProgramTitle]],"Yes","No")</f>
        <v>#VALUE!</v>
      </c>
      <c r="BD473" s="9" t="e">
        <f>IF(EFB!$S473=Table1[[#This Row],[SeriesEpisodeTitle]],"Yes","No")</f>
        <v>#VALUE!</v>
      </c>
      <c r="BE473" s="11">
        <f t="shared" si="26"/>
        <v>0</v>
      </c>
      <c r="BF473" s="11">
        <f t="shared" si="27"/>
        <v>0</v>
      </c>
      <c r="BH473" s="21" t="e">
        <f>Table1[[#This Row],[StartTime]]+$BG$2</f>
        <v>#VALUE!</v>
      </c>
    </row>
    <row r="474" spans="3:60" x14ac:dyDescent="0.25">
      <c r="C474" s="35"/>
      <c r="G474" s="1"/>
      <c r="H474" s="1"/>
      <c r="I474" s="1"/>
      <c r="J474" s="1"/>
      <c r="K474" s="33"/>
      <c r="L474" s="22"/>
      <c r="M474" s="1"/>
      <c r="N474" s="1"/>
      <c r="O474" s="1"/>
      <c r="P474" s="1"/>
      <c r="Q474" s="1"/>
      <c r="R474" s="1"/>
      <c r="S474" s="1"/>
      <c r="BB474" s="9" t="str">
        <f t="shared" si="25"/>
        <v>Yes</v>
      </c>
      <c r="BC474" s="9" t="e">
        <f>IF(EFB!$N474=Table1[[#This Row],[ProgramTitle]],"Yes","No")</f>
        <v>#VALUE!</v>
      </c>
      <c r="BD474" s="9" t="e">
        <f>IF(EFB!$S474=Table1[[#This Row],[SeriesEpisodeTitle]],"Yes","No")</f>
        <v>#VALUE!</v>
      </c>
      <c r="BE474" s="11">
        <f t="shared" si="26"/>
        <v>0</v>
      </c>
      <c r="BF474" s="11">
        <f t="shared" si="27"/>
        <v>0</v>
      </c>
      <c r="BH474" s="21" t="e">
        <f>Table1[[#This Row],[StartTime]]+$BG$2</f>
        <v>#VALUE!</v>
      </c>
    </row>
    <row r="475" spans="3:60" x14ac:dyDescent="0.25">
      <c r="C475" s="35"/>
      <c r="G475" s="1"/>
      <c r="H475" s="1"/>
      <c r="I475" s="1"/>
      <c r="J475" s="1"/>
      <c r="K475" s="33"/>
      <c r="L475" s="22"/>
      <c r="M475" s="1"/>
      <c r="N475" s="1"/>
      <c r="O475" s="1"/>
      <c r="P475" s="1"/>
      <c r="Q475" s="1"/>
      <c r="R475" s="1"/>
      <c r="S475" s="1"/>
      <c r="BB475" s="9" t="str">
        <f t="shared" si="25"/>
        <v>Yes</v>
      </c>
      <c r="BC475" s="9" t="e">
        <f>IF(EFB!$N475=Table1[[#This Row],[ProgramTitle]],"Yes","No")</f>
        <v>#VALUE!</v>
      </c>
      <c r="BD475" s="9" t="e">
        <f>IF(EFB!$S475=Table1[[#This Row],[SeriesEpisodeTitle]],"Yes","No")</f>
        <v>#VALUE!</v>
      </c>
      <c r="BE475" s="11">
        <f t="shared" si="26"/>
        <v>0</v>
      </c>
      <c r="BF475" s="11">
        <f t="shared" si="27"/>
        <v>0</v>
      </c>
      <c r="BH475" s="21" t="e">
        <f>Table1[[#This Row],[StartTime]]+$BG$2</f>
        <v>#VALUE!</v>
      </c>
    </row>
    <row r="476" spans="3:60" x14ac:dyDescent="0.25">
      <c r="C476" s="35"/>
      <c r="G476" s="1"/>
      <c r="H476" s="1"/>
      <c r="I476" s="1"/>
      <c r="J476" s="1"/>
      <c r="K476" s="33"/>
      <c r="L476" s="22"/>
      <c r="M476" s="1"/>
      <c r="N476" s="1"/>
      <c r="O476" s="1"/>
      <c r="P476" s="1"/>
      <c r="Q476" s="1"/>
      <c r="R476" s="1"/>
      <c r="S476" s="1"/>
      <c r="BB476" s="9" t="str">
        <f t="shared" si="25"/>
        <v>Yes</v>
      </c>
      <c r="BC476" s="9" t="e">
        <f>IF(EFB!$N476=Table1[[#This Row],[ProgramTitle]],"Yes","No")</f>
        <v>#VALUE!</v>
      </c>
      <c r="BD476" s="9" t="e">
        <f>IF(EFB!$S476=Table1[[#This Row],[SeriesEpisodeTitle]],"Yes","No")</f>
        <v>#VALUE!</v>
      </c>
      <c r="BE476" s="11">
        <f t="shared" si="26"/>
        <v>0</v>
      </c>
      <c r="BF476" s="11">
        <f t="shared" si="27"/>
        <v>0</v>
      </c>
      <c r="BH476" s="21" t="e">
        <f>Table1[[#This Row],[StartTime]]+$BG$2</f>
        <v>#VALUE!</v>
      </c>
    </row>
    <row r="477" spans="3:60" x14ac:dyDescent="0.25">
      <c r="C477" s="35"/>
      <c r="G477" s="1"/>
      <c r="H477" s="1"/>
      <c r="I477" s="1"/>
      <c r="J477" s="1"/>
      <c r="K477" s="33"/>
      <c r="L477" s="22"/>
      <c r="M477" s="1"/>
      <c r="N477" s="1"/>
      <c r="O477" s="1"/>
      <c r="P477" s="1"/>
      <c r="Q477" s="1"/>
      <c r="R477" s="1"/>
      <c r="S477" s="1"/>
      <c r="BB477" s="9" t="str">
        <f t="shared" si="25"/>
        <v>Yes</v>
      </c>
      <c r="BC477" s="9" t="e">
        <f>IF(EFB!$N477=Table1[[#This Row],[ProgramTitle]],"Yes","No")</f>
        <v>#VALUE!</v>
      </c>
      <c r="BD477" s="9" t="e">
        <f>IF(EFB!$S477=Table1[[#This Row],[SeriesEpisodeTitle]],"Yes","No")</f>
        <v>#VALUE!</v>
      </c>
      <c r="BE477" s="11">
        <f t="shared" si="26"/>
        <v>0</v>
      </c>
      <c r="BF477" s="11">
        <f t="shared" si="27"/>
        <v>0</v>
      </c>
      <c r="BH477" s="21" t="e">
        <f>Table1[[#This Row],[StartTime]]+$BG$2</f>
        <v>#VALUE!</v>
      </c>
    </row>
    <row r="478" spans="3:60" x14ac:dyDescent="0.25">
      <c r="C478" s="35"/>
      <c r="G478" s="1"/>
      <c r="H478" s="1"/>
      <c r="I478" s="1"/>
      <c r="J478" s="1"/>
      <c r="K478" s="33"/>
      <c r="L478" s="22"/>
      <c r="M478" s="1"/>
      <c r="N478" s="1"/>
      <c r="O478" s="1"/>
      <c r="P478" s="1"/>
      <c r="Q478" s="1"/>
      <c r="R478" s="1"/>
      <c r="S478" s="1"/>
      <c r="BB478" s="9" t="str">
        <f t="shared" si="25"/>
        <v>Yes</v>
      </c>
      <c r="BC478" s="9" t="e">
        <f>IF(EFB!$N478=Table1[[#This Row],[ProgramTitle]],"Yes","No")</f>
        <v>#VALUE!</v>
      </c>
      <c r="BD478" s="9" t="e">
        <f>IF(EFB!$S478=Table1[[#This Row],[SeriesEpisodeTitle]],"Yes","No")</f>
        <v>#VALUE!</v>
      </c>
      <c r="BE478" s="11">
        <f t="shared" si="26"/>
        <v>0</v>
      </c>
      <c r="BF478" s="11">
        <f t="shared" si="27"/>
        <v>0</v>
      </c>
      <c r="BH478" s="21" t="e">
        <f>Table1[[#This Row],[StartTime]]+$BG$2</f>
        <v>#VALUE!</v>
      </c>
    </row>
    <row r="479" spans="3:60" x14ac:dyDescent="0.25">
      <c r="C479" s="35"/>
      <c r="G479" s="1"/>
      <c r="H479" s="1"/>
      <c r="I479" s="1"/>
      <c r="J479" s="1"/>
      <c r="K479" s="33"/>
      <c r="L479" s="22"/>
      <c r="M479" s="1"/>
      <c r="N479" s="1"/>
      <c r="O479" s="1"/>
      <c r="P479" s="1"/>
      <c r="Q479" s="1"/>
      <c r="R479" s="1"/>
      <c r="S479" s="1"/>
      <c r="BB479" s="9" t="str">
        <f t="shared" si="25"/>
        <v>Yes</v>
      </c>
      <c r="BC479" s="9" t="e">
        <f>IF(EFB!$N479=Table1[[#This Row],[ProgramTitle]],"Yes","No")</f>
        <v>#VALUE!</v>
      </c>
      <c r="BD479" s="9" t="e">
        <f>IF(EFB!$S479=Table1[[#This Row],[SeriesEpisodeTitle]],"Yes","No")</f>
        <v>#VALUE!</v>
      </c>
      <c r="BE479" s="11">
        <f t="shared" si="26"/>
        <v>0</v>
      </c>
      <c r="BF479" s="11">
        <f t="shared" si="27"/>
        <v>0</v>
      </c>
      <c r="BH479" s="21" t="e">
        <f>Table1[[#This Row],[StartTime]]+$BG$2</f>
        <v>#VALUE!</v>
      </c>
    </row>
    <row r="480" spans="3:60" x14ac:dyDescent="0.25">
      <c r="C480" s="35"/>
      <c r="G480" s="1"/>
      <c r="H480" s="1"/>
      <c r="I480" s="1"/>
      <c r="J480" s="1"/>
      <c r="K480" s="33"/>
      <c r="L480" s="22"/>
      <c r="M480" s="1"/>
      <c r="N480" s="1"/>
      <c r="O480" s="1"/>
      <c r="P480" s="1"/>
      <c r="Q480" s="1"/>
      <c r="R480" s="1"/>
      <c r="S480" s="1"/>
      <c r="BB480" s="9" t="str">
        <f t="shared" si="25"/>
        <v>Yes</v>
      </c>
      <c r="BC480" s="9" t="e">
        <f>IF(EFB!$N480=Table1[[#This Row],[ProgramTitle]],"Yes","No")</f>
        <v>#VALUE!</v>
      </c>
      <c r="BD480" s="9" t="e">
        <f>IF(EFB!$S480=Table1[[#This Row],[SeriesEpisodeTitle]],"Yes","No")</f>
        <v>#VALUE!</v>
      </c>
      <c r="BE480" s="11">
        <f t="shared" si="26"/>
        <v>0</v>
      </c>
      <c r="BF480" s="11">
        <f t="shared" si="27"/>
        <v>0</v>
      </c>
      <c r="BH480" s="21" t="e">
        <f>Table1[[#This Row],[StartTime]]+$BG$2</f>
        <v>#VALUE!</v>
      </c>
    </row>
    <row r="481" spans="3:60" x14ac:dyDescent="0.25">
      <c r="C481" s="35"/>
      <c r="G481" s="1"/>
      <c r="H481" s="1"/>
      <c r="I481" s="1"/>
      <c r="J481" s="1"/>
      <c r="K481" s="33"/>
      <c r="L481" s="22"/>
      <c r="M481" s="1"/>
      <c r="N481" s="1"/>
      <c r="O481" s="1"/>
      <c r="P481" s="1"/>
      <c r="Q481" s="1"/>
      <c r="R481" s="1"/>
      <c r="S481" s="1"/>
      <c r="BB481" s="9" t="str">
        <f t="shared" si="25"/>
        <v>Yes</v>
      </c>
      <c r="BC481" s="9" t="e">
        <f>IF(EFB!$N481=Table1[[#This Row],[ProgramTitle]],"Yes","No")</f>
        <v>#VALUE!</v>
      </c>
      <c r="BD481" s="9" t="e">
        <f>IF(EFB!$S481=Table1[[#This Row],[SeriesEpisodeTitle]],"Yes","No")</f>
        <v>#VALUE!</v>
      </c>
      <c r="BE481" s="11">
        <f t="shared" si="26"/>
        <v>0</v>
      </c>
      <c r="BF481" s="11">
        <f t="shared" si="27"/>
        <v>0</v>
      </c>
      <c r="BH481" s="21" t="e">
        <f>Table1[[#This Row],[StartTime]]+$BG$2</f>
        <v>#VALUE!</v>
      </c>
    </row>
    <row r="482" spans="3:60" x14ac:dyDescent="0.25">
      <c r="C482" s="35"/>
      <c r="G482" s="1"/>
      <c r="H482" s="1"/>
      <c r="I482" s="1"/>
      <c r="J482" s="1"/>
      <c r="K482" s="33"/>
      <c r="L482" s="22"/>
      <c r="M482" s="1"/>
      <c r="N482" s="1"/>
      <c r="O482" s="1"/>
      <c r="P482" s="1"/>
      <c r="Q482" s="1"/>
      <c r="R482" s="1"/>
      <c r="S482" s="1"/>
      <c r="BB482" s="9" t="str">
        <f t="shared" si="25"/>
        <v>Yes</v>
      </c>
      <c r="BC482" s="9" t="e">
        <f>IF(EFB!$N482=Table1[[#This Row],[ProgramTitle]],"Yes","No")</f>
        <v>#VALUE!</v>
      </c>
      <c r="BD482" s="9" t="e">
        <f>IF(EFB!$S482=Table1[[#This Row],[SeriesEpisodeTitle]],"Yes","No")</f>
        <v>#VALUE!</v>
      </c>
      <c r="BE482" s="11">
        <f t="shared" si="26"/>
        <v>0</v>
      </c>
      <c r="BF482" s="11">
        <f t="shared" si="27"/>
        <v>0</v>
      </c>
      <c r="BH482" s="21" t="e">
        <f>Table1[[#This Row],[StartTime]]+$BG$2</f>
        <v>#VALUE!</v>
      </c>
    </row>
    <row r="483" spans="3:60" x14ac:dyDescent="0.25">
      <c r="C483" s="35"/>
      <c r="G483" s="1"/>
      <c r="H483" s="1"/>
      <c r="I483" s="1"/>
      <c r="J483" s="1"/>
      <c r="K483" s="33"/>
      <c r="L483" s="22"/>
      <c r="M483" s="1"/>
      <c r="N483" s="1"/>
      <c r="O483" s="1"/>
      <c r="P483" s="1"/>
      <c r="Q483" s="1"/>
      <c r="R483" s="1"/>
      <c r="S483" s="1"/>
      <c r="BB483" s="9" t="str">
        <f t="shared" si="25"/>
        <v>Yes</v>
      </c>
      <c r="BC483" s="9" t="e">
        <f>IF(EFB!$N483=Table1[[#This Row],[ProgramTitle]],"Yes","No")</f>
        <v>#VALUE!</v>
      </c>
      <c r="BD483" s="9" t="e">
        <f>IF(EFB!$S483=Table1[[#This Row],[SeriesEpisodeTitle]],"Yes","No")</f>
        <v>#VALUE!</v>
      </c>
      <c r="BE483" s="11">
        <f t="shared" si="26"/>
        <v>0</v>
      </c>
      <c r="BF483" s="11">
        <f t="shared" si="27"/>
        <v>0</v>
      </c>
      <c r="BH483" s="21" t="e">
        <f>Table1[[#This Row],[StartTime]]+$BG$2</f>
        <v>#VALUE!</v>
      </c>
    </row>
    <row r="484" spans="3:60" x14ac:dyDescent="0.25">
      <c r="C484" s="35"/>
      <c r="G484" s="1"/>
      <c r="H484" s="1"/>
      <c r="I484" s="1"/>
      <c r="J484" s="1"/>
      <c r="K484" s="33"/>
      <c r="L484" s="22"/>
      <c r="M484" s="1"/>
      <c r="N484" s="1"/>
      <c r="O484" s="1"/>
      <c r="P484" s="1"/>
      <c r="Q484" s="1"/>
      <c r="R484" s="1"/>
      <c r="S484" s="1"/>
      <c r="BB484" s="9" t="str">
        <f t="shared" si="25"/>
        <v>Yes</v>
      </c>
      <c r="BC484" s="9" t="e">
        <f>IF(EFB!$N484=Table1[[#This Row],[ProgramTitle]],"Yes","No")</f>
        <v>#VALUE!</v>
      </c>
      <c r="BD484" s="9" t="e">
        <f>IF(EFB!$S484=Table1[[#This Row],[SeriesEpisodeTitle]],"Yes","No")</f>
        <v>#VALUE!</v>
      </c>
      <c r="BE484" s="11">
        <f t="shared" si="26"/>
        <v>0</v>
      </c>
      <c r="BF484" s="11">
        <f t="shared" si="27"/>
        <v>0</v>
      </c>
      <c r="BH484" s="21" t="e">
        <f>Table1[[#This Row],[StartTime]]+$BG$2</f>
        <v>#VALUE!</v>
      </c>
    </row>
    <row r="485" spans="3:60" x14ac:dyDescent="0.25">
      <c r="C485" s="35"/>
      <c r="G485" s="1"/>
      <c r="H485" s="1"/>
      <c r="I485" s="1"/>
      <c r="J485" s="1"/>
      <c r="K485" s="33"/>
      <c r="L485" s="22"/>
      <c r="M485" s="1"/>
      <c r="N485" s="1"/>
      <c r="O485" s="1"/>
      <c r="P485" s="1"/>
      <c r="Q485" s="1"/>
      <c r="R485" s="1"/>
      <c r="S485" s="1"/>
      <c r="BB485" s="9" t="str">
        <f t="shared" si="25"/>
        <v>Yes</v>
      </c>
      <c r="BC485" s="9" t="e">
        <f>IF(EFB!$N485=Table1[[#This Row],[ProgramTitle]],"Yes","No")</f>
        <v>#VALUE!</v>
      </c>
      <c r="BD485" s="9" t="e">
        <f>IF(EFB!$S485=Table1[[#This Row],[SeriesEpisodeTitle]],"Yes","No")</f>
        <v>#VALUE!</v>
      </c>
      <c r="BE485" s="11">
        <f t="shared" si="26"/>
        <v>0</v>
      </c>
      <c r="BF485" s="11">
        <f t="shared" si="27"/>
        <v>0</v>
      </c>
      <c r="BH485" s="21" t="e">
        <f>Table1[[#This Row],[StartTime]]+$BG$2</f>
        <v>#VALUE!</v>
      </c>
    </row>
    <row r="486" spans="3:60" x14ac:dyDescent="0.25">
      <c r="C486" s="35"/>
      <c r="G486" s="1"/>
      <c r="H486" s="1"/>
      <c r="I486" s="1"/>
      <c r="J486" s="1"/>
      <c r="K486" s="33"/>
      <c r="L486" s="22"/>
      <c r="M486" s="1"/>
      <c r="N486" s="1"/>
      <c r="O486" s="1"/>
      <c r="P486" s="1"/>
      <c r="Q486" s="1"/>
      <c r="R486" s="1"/>
      <c r="S486" s="1"/>
      <c r="BB486" s="9" t="str">
        <f t="shared" si="25"/>
        <v>Yes</v>
      </c>
      <c r="BC486" s="9" t="e">
        <f>IF(EFB!$N486=Table1[[#This Row],[ProgramTitle]],"Yes","No")</f>
        <v>#VALUE!</v>
      </c>
      <c r="BD486" s="9" t="e">
        <f>IF(EFB!$S486=Table1[[#This Row],[SeriesEpisodeTitle]],"Yes","No")</f>
        <v>#VALUE!</v>
      </c>
      <c r="BE486" s="11">
        <f t="shared" si="26"/>
        <v>0</v>
      </c>
      <c r="BF486" s="11">
        <f t="shared" si="27"/>
        <v>0</v>
      </c>
      <c r="BH486" s="21" t="e">
        <f>Table1[[#This Row],[StartTime]]+$BG$2</f>
        <v>#VALUE!</v>
      </c>
    </row>
    <row r="487" spans="3:60" x14ac:dyDescent="0.25">
      <c r="C487" s="35"/>
      <c r="G487" s="1"/>
      <c r="H487" s="1"/>
      <c r="I487" s="1"/>
      <c r="J487" s="1"/>
      <c r="K487" s="33"/>
      <c r="L487" s="22"/>
      <c r="M487" s="1"/>
      <c r="N487" s="1"/>
      <c r="O487" s="1"/>
      <c r="P487" s="1"/>
      <c r="Q487" s="1"/>
      <c r="R487" s="1"/>
      <c r="S487" s="1"/>
      <c r="BB487" s="9" t="str">
        <f t="shared" si="25"/>
        <v>Yes</v>
      </c>
      <c r="BC487" s="9" t="e">
        <f>IF(EFB!$N487=Table1[[#This Row],[ProgramTitle]],"Yes","No")</f>
        <v>#VALUE!</v>
      </c>
      <c r="BD487" s="9" t="e">
        <f>IF(EFB!$S487=Table1[[#This Row],[SeriesEpisodeTitle]],"Yes","No")</f>
        <v>#VALUE!</v>
      </c>
      <c r="BE487" s="11">
        <f t="shared" si="26"/>
        <v>0</v>
      </c>
      <c r="BF487" s="11">
        <f t="shared" si="27"/>
        <v>0</v>
      </c>
      <c r="BH487" s="21" t="e">
        <f>Table1[[#This Row],[StartTime]]+$BG$2</f>
        <v>#VALUE!</v>
      </c>
    </row>
    <row r="488" spans="3:60" x14ac:dyDescent="0.25">
      <c r="C488" s="35"/>
      <c r="G488" s="1"/>
      <c r="H488" s="1"/>
      <c r="I488" s="1"/>
      <c r="J488" s="1"/>
      <c r="K488" s="33"/>
      <c r="L488" s="22"/>
      <c r="M488" s="1"/>
      <c r="N488" s="1"/>
      <c r="O488" s="1"/>
      <c r="P488" s="1"/>
      <c r="Q488" s="1"/>
      <c r="R488" s="1"/>
      <c r="S488" s="1"/>
      <c r="BB488" s="9" t="str">
        <f t="shared" si="25"/>
        <v>Yes</v>
      </c>
      <c r="BC488" s="9" t="e">
        <f>IF(EFB!$N488=Table1[[#This Row],[ProgramTitle]],"Yes","No")</f>
        <v>#VALUE!</v>
      </c>
      <c r="BD488" s="9" t="e">
        <f>IF(EFB!$S488=Table1[[#This Row],[SeriesEpisodeTitle]],"Yes","No")</f>
        <v>#VALUE!</v>
      </c>
      <c r="BE488" s="11">
        <f t="shared" si="26"/>
        <v>0</v>
      </c>
      <c r="BF488" s="11">
        <f t="shared" si="27"/>
        <v>0</v>
      </c>
      <c r="BH488" s="21" t="e">
        <f>Table1[[#This Row],[StartTime]]+$BG$2</f>
        <v>#VALUE!</v>
      </c>
    </row>
    <row r="489" spans="3:60" x14ac:dyDescent="0.25">
      <c r="C489" s="35"/>
      <c r="G489" s="1"/>
      <c r="H489" s="1"/>
      <c r="I489" s="1"/>
      <c r="J489" s="1"/>
      <c r="K489" s="33"/>
      <c r="L489" s="22"/>
      <c r="M489" s="1"/>
      <c r="N489" s="1"/>
      <c r="O489" s="1"/>
      <c r="P489" s="1"/>
      <c r="Q489" s="1"/>
      <c r="R489" s="1"/>
      <c r="S489" s="1"/>
      <c r="BB489" s="9" t="str">
        <f t="shared" si="25"/>
        <v>Yes</v>
      </c>
      <c r="BC489" s="9" t="e">
        <f>IF(EFB!$N489=Table1[[#This Row],[ProgramTitle]],"Yes","No")</f>
        <v>#VALUE!</v>
      </c>
      <c r="BD489" s="9" t="e">
        <f>IF(EFB!$S489=Table1[[#This Row],[SeriesEpisodeTitle]],"Yes","No")</f>
        <v>#VALUE!</v>
      </c>
      <c r="BE489" s="11">
        <f t="shared" si="26"/>
        <v>0</v>
      </c>
      <c r="BF489" s="11">
        <f t="shared" si="27"/>
        <v>0</v>
      </c>
      <c r="BH489" s="21" t="e">
        <f>Table1[[#This Row],[StartTime]]+$BG$2</f>
        <v>#VALUE!</v>
      </c>
    </row>
    <row r="490" spans="3:60" x14ac:dyDescent="0.25">
      <c r="C490" s="35"/>
      <c r="G490" s="1"/>
      <c r="H490" s="1"/>
      <c r="I490" s="1"/>
      <c r="J490" s="1"/>
      <c r="K490" s="33"/>
      <c r="L490" s="22"/>
      <c r="M490" s="1"/>
      <c r="N490" s="1"/>
      <c r="O490" s="1"/>
      <c r="P490" s="1"/>
      <c r="Q490" s="1"/>
      <c r="R490" s="1"/>
      <c r="S490" s="1"/>
      <c r="BB490" s="9" t="str">
        <f t="shared" si="25"/>
        <v>Yes</v>
      </c>
      <c r="BC490" s="9" t="e">
        <f>IF(EFB!$N490=Table1[[#This Row],[ProgramTitle]],"Yes","No")</f>
        <v>#VALUE!</v>
      </c>
      <c r="BD490" s="9" t="e">
        <f>IF(EFB!$S490=Table1[[#This Row],[SeriesEpisodeTitle]],"Yes","No")</f>
        <v>#VALUE!</v>
      </c>
      <c r="BE490" s="11">
        <f t="shared" si="26"/>
        <v>0</v>
      </c>
      <c r="BF490" s="11">
        <f t="shared" si="27"/>
        <v>0</v>
      </c>
      <c r="BH490" s="21" t="e">
        <f>Table1[[#This Row],[StartTime]]+$BG$2</f>
        <v>#VALUE!</v>
      </c>
    </row>
    <row r="491" spans="3:60" x14ac:dyDescent="0.25">
      <c r="C491" s="35"/>
      <c r="G491" s="1"/>
      <c r="H491" s="1"/>
      <c r="I491" s="1"/>
      <c r="J491" s="1"/>
      <c r="K491" s="33"/>
      <c r="L491" s="22"/>
      <c r="M491" s="1"/>
      <c r="N491" s="1"/>
      <c r="O491" s="1"/>
      <c r="P491" s="1"/>
      <c r="Q491" s="1"/>
      <c r="R491" s="1"/>
      <c r="S491" s="1"/>
      <c r="BB491" s="9" t="str">
        <f t="shared" si="25"/>
        <v>Yes</v>
      </c>
      <c r="BC491" s="9" t="e">
        <f>IF(EFB!$N491=Table1[[#This Row],[ProgramTitle]],"Yes","No")</f>
        <v>#VALUE!</v>
      </c>
      <c r="BD491" s="9" t="e">
        <f>IF(EFB!$S491=Table1[[#This Row],[SeriesEpisodeTitle]],"Yes","No")</f>
        <v>#VALUE!</v>
      </c>
      <c r="BE491" s="11">
        <f t="shared" si="26"/>
        <v>0</v>
      </c>
      <c r="BF491" s="11">
        <f t="shared" si="27"/>
        <v>0</v>
      </c>
      <c r="BH491" s="21" t="e">
        <f>Table1[[#This Row],[StartTime]]+$BG$2</f>
        <v>#VALUE!</v>
      </c>
    </row>
    <row r="492" spans="3:60" x14ac:dyDescent="0.25">
      <c r="C492" s="35"/>
      <c r="G492" s="1"/>
      <c r="H492" s="1"/>
      <c r="I492" s="1"/>
      <c r="J492" s="1"/>
      <c r="K492" s="33"/>
      <c r="L492" s="22"/>
      <c r="M492" s="1"/>
      <c r="N492" s="1"/>
      <c r="O492" s="1"/>
      <c r="P492" s="1"/>
      <c r="Q492" s="1"/>
      <c r="R492" s="1"/>
      <c r="S492" s="1"/>
      <c r="BB492" s="9" t="str">
        <f t="shared" si="25"/>
        <v>Yes</v>
      </c>
      <c r="BC492" s="9" t="e">
        <f>IF(EFB!$N492=Table1[[#This Row],[ProgramTitle]],"Yes","No")</f>
        <v>#VALUE!</v>
      </c>
      <c r="BD492" s="9" t="e">
        <f>IF(EFB!$S492=Table1[[#This Row],[SeriesEpisodeTitle]],"Yes","No")</f>
        <v>#VALUE!</v>
      </c>
      <c r="BE492" s="11">
        <f t="shared" si="26"/>
        <v>0</v>
      </c>
      <c r="BF492" s="11">
        <f t="shared" si="27"/>
        <v>0</v>
      </c>
      <c r="BH492" s="21" t="e">
        <f>Table1[[#This Row],[StartTime]]+$BG$2</f>
        <v>#VALUE!</v>
      </c>
    </row>
    <row r="493" spans="3:60" x14ac:dyDescent="0.25">
      <c r="C493" s="35"/>
      <c r="G493" s="1"/>
      <c r="H493" s="1"/>
      <c r="I493" s="1"/>
      <c r="J493" s="1"/>
      <c r="K493" s="33"/>
      <c r="L493" s="22"/>
      <c r="M493" s="1"/>
      <c r="N493" s="1"/>
      <c r="O493" s="1"/>
      <c r="P493" s="1"/>
      <c r="Q493" s="1"/>
      <c r="R493" s="1"/>
      <c r="S493" s="1"/>
      <c r="BB493" s="9" t="str">
        <f t="shared" si="25"/>
        <v>Yes</v>
      </c>
      <c r="BC493" s="9" t="e">
        <f>IF(EFB!$N493=Table1[[#This Row],[ProgramTitle]],"Yes","No")</f>
        <v>#VALUE!</v>
      </c>
      <c r="BD493" s="9" t="e">
        <f>IF(EFB!$S493=Table1[[#This Row],[SeriesEpisodeTitle]],"Yes","No")</f>
        <v>#VALUE!</v>
      </c>
      <c r="BE493" s="11">
        <f t="shared" si="26"/>
        <v>0</v>
      </c>
      <c r="BF493" s="11">
        <f t="shared" si="27"/>
        <v>0</v>
      </c>
      <c r="BH493" s="21" t="e">
        <f>Table1[[#This Row],[StartTime]]+$BG$2</f>
        <v>#VALUE!</v>
      </c>
    </row>
    <row r="494" spans="3:60" x14ac:dyDescent="0.25">
      <c r="C494" s="35"/>
      <c r="G494" s="1"/>
      <c r="H494" s="1"/>
      <c r="I494" s="1"/>
      <c r="J494" s="1"/>
      <c r="K494" s="33"/>
      <c r="L494" s="22"/>
      <c r="M494" s="1"/>
      <c r="N494" s="1"/>
      <c r="O494" s="1"/>
      <c r="P494" s="1"/>
      <c r="Q494" s="1"/>
      <c r="R494" s="1"/>
      <c r="S494" s="1"/>
      <c r="BB494" s="9" t="str">
        <f t="shared" si="25"/>
        <v>Yes</v>
      </c>
      <c r="BC494" s="9" t="e">
        <f>IF(EFB!$N494=Table1[[#This Row],[ProgramTitle]],"Yes","No")</f>
        <v>#VALUE!</v>
      </c>
      <c r="BD494" s="9" t="e">
        <f>IF(EFB!$S494=Table1[[#This Row],[SeriesEpisodeTitle]],"Yes","No")</f>
        <v>#VALUE!</v>
      </c>
      <c r="BE494" s="11">
        <f t="shared" si="26"/>
        <v>0</v>
      </c>
      <c r="BF494" s="11">
        <f t="shared" si="27"/>
        <v>0</v>
      </c>
      <c r="BH494" s="21" t="e">
        <f>Table1[[#This Row],[StartTime]]+$BG$2</f>
        <v>#VALUE!</v>
      </c>
    </row>
    <row r="495" spans="3:60" x14ac:dyDescent="0.25">
      <c r="C495" s="35"/>
      <c r="G495" s="1"/>
      <c r="H495" s="1"/>
      <c r="I495" s="1"/>
      <c r="J495" s="1"/>
      <c r="K495" s="33"/>
      <c r="L495" s="22"/>
      <c r="M495" s="1"/>
      <c r="N495" s="1"/>
      <c r="O495" s="1"/>
      <c r="P495" s="1"/>
      <c r="Q495" s="1"/>
      <c r="R495" s="1"/>
      <c r="S495" s="1"/>
      <c r="BB495" s="9" t="str">
        <f t="shared" ref="BB495:BB558" si="28">IF(BE495=BF495,"Yes","No")</f>
        <v>Yes</v>
      </c>
      <c r="BC495" s="9" t="e">
        <f>IF(EFB!$N495=Table1[[#This Row],[ProgramTitle]],"Yes","No")</f>
        <v>#VALUE!</v>
      </c>
      <c r="BD495" s="9" t="e">
        <f>IF(EFB!$S495=Table1[[#This Row],[SeriesEpisodeTitle]],"Yes","No")</f>
        <v>#VALUE!</v>
      </c>
      <c r="BE495" s="11">
        <f t="shared" ref="BE495:BE558" si="29">TIME(HOUR(C495),MINUTE(C495),SECOND(0))</f>
        <v>0</v>
      </c>
      <c r="BF495" s="11">
        <f t="shared" ref="BF495:BF558" si="30">TIME(HOUR(L495),MINUTE(L495),SECOND(0))</f>
        <v>0</v>
      </c>
      <c r="BH495" s="21" t="e">
        <f>Table1[[#This Row],[StartTime]]+$BG$2</f>
        <v>#VALUE!</v>
      </c>
    </row>
    <row r="496" spans="3:60" x14ac:dyDescent="0.25">
      <c r="C496" s="35"/>
      <c r="G496" s="1"/>
      <c r="H496" s="1"/>
      <c r="I496" s="1"/>
      <c r="J496" s="1"/>
      <c r="K496" s="33"/>
      <c r="L496" s="22"/>
      <c r="M496" s="1"/>
      <c r="N496" s="1"/>
      <c r="O496" s="1"/>
      <c r="P496" s="1"/>
      <c r="Q496" s="1"/>
      <c r="R496" s="1"/>
      <c r="S496" s="1"/>
      <c r="BB496" s="9" t="str">
        <f t="shared" si="28"/>
        <v>Yes</v>
      </c>
      <c r="BC496" s="9" t="e">
        <f>IF(EFB!$N496=Table1[[#This Row],[ProgramTitle]],"Yes","No")</f>
        <v>#VALUE!</v>
      </c>
      <c r="BD496" s="9" t="e">
        <f>IF(EFB!$S496=Table1[[#This Row],[SeriesEpisodeTitle]],"Yes","No")</f>
        <v>#VALUE!</v>
      </c>
      <c r="BE496" s="11">
        <f t="shared" si="29"/>
        <v>0</v>
      </c>
      <c r="BF496" s="11">
        <f t="shared" si="30"/>
        <v>0</v>
      </c>
      <c r="BH496" s="21" t="e">
        <f>Table1[[#This Row],[StartTime]]+$BG$2</f>
        <v>#VALUE!</v>
      </c>
    </row>
    <row r="497" spans="3:60" x14ac:dyDescent="0.25">
      <c r="C497" s="35"/>
      <c r="G497" s="1"/>
      <c r="H497" s="1"/>
      <c r="I497" s="1"/>
      <c r="J497" s="1"/>
      <c r="K497" s="33"/>
      <c r="L497" s="22"/>
      <c r="M497" s="1"/>
      <c r="N497" s="1"/>
      <c r="O497" s="1"/>
      <c r="P497" s="1"/>
      <c r="Q497" s="1"/>
      <c r="R497" s="1"/>
      <c r="S497" s="1"/>
      <c r="BB497" s="9" t="str">
        <f t="shared" si="28"/>
        <v>Yes</v>
      </c>
      <c r="BC497" s="9" t="e">
        <f>IF(EFB!$N497=Table1[[#This Row],[ProgramTitle]],"Yes","No")</f>
        <v>#VALUE!</v>
      </c>
      <c r="BD497" s="9" t="e">
        <f>IF(EFB!$S497=Table1[[#This Row],[SeriesEpisodeTitle]],"Yes","No")</f>
        <v>#VALUE!</v>
      </c>
      <c r="BE497" s="11">
        <f t="shared" si="29"/>
        <v>0</v>
      </c>
      <c r="BF497" s="11">
        <f t="shared" si="30"/>
        <v>0</v>
      </c>
      <c r="BH497" s="21" t="e">
        <f>Table1[[#This Row],[StartTime]]+$BG$2</f>
        <v>#VALUE!</v>
      </c>
    </row>
    <row r="498" spans="3:60" x14ac:dyDescent="0.25">
      <c r="C498" s="35"/>
      <c r="G498" s="1"/>
      <c r="H498" s="1"/>
      <c r="I498" s="1"/>
      <c r="J498" s="1"/>
      <c r="K498" s="33"/>
      <c r="L498" s="22"/>
      <c r="M498" s="1"/>
      <c r="N498" s="1"/>
      <c r="O498" s="1"/>
      <c r="P498" s="1"/>
      <c r="Q498" s="1"/>
      <c r="R498" s="1"/>
      <c r="S498" s="1"/>
      <c r="BB498" s="9" t="str">
        <f t="shared" si="28"/>
        <v>Yes</v>
      </c>
      <c r="BC498" s="9" t="e">
        <f>IF(EFB!$N498=Table1[[#This Row],[ProgramTitle]],"Yes","No")</f>
        <v>#VALUE!</v>
      </c>
      <c r="BD498" s="9" t="e">
        <f>IF(EFB!$S498=Table1[[#This Row],[SeriesEpisodeTitle]],"Yes","No")</f>
        <v>#VALUE!</v>
      </c>
      <c r="BE498" s="11">
        <f t="shared" si="29"/>
        <v>0</v>
      </c>
      <c r="BF498" s="11">
        <f t="shared" si="30"/>
        <v>0</v>
      </c>
      <c r="BH498" s="21" t="e">
        <f>Table1[[#This Row],[StartTime]]+$BG$2</f>
        <v>#VALUE!</v>
      </c>
    </row>
    <row r="499" spans="3:60" x14ac:dyDescent="0.25">
      <c r="C499" s="35"/>
      <c r="G499" s="1"/>
      <c r="H499" s="1"/>
      <c r="I499" s="1"/>
      <c r="J499" s="1"/>
      <c r="K499" s="33"/>
      <c r="L499" s="22"/>
      <c r="M499" s="1"/>
      <c r="N499" s="1"/>
      <c r="O499" s="1"/>
      <c r="P499" s="1"/>
      <c r="Q499" s="1"/>
      <c r="R499" s="1"/>
      <c r="S499" s="1"/>
      <c r="BB499" s="9" t="str">
        <f t="shared" si="28"/>
        <v>Yes</v>
      </c>
      <c r="BC499" s="9" t="e">
        <f>IF(EFB!$N499=Table1[[#This Row],[ProgramTitle]],"Yes","No")</f>
        <v>#VALUE!</v>
      </c>
      <c r="BD499" s="9" t="e">
        <f>IF(EFB!$S499=Table1[[#This Row],[SeriesEpisodeTitle]],"Yes","No")</f>
        <v>#VALUE!</v>
      </c>
      <c r="BE499" s="11">
        <f t="shared" si="29"/>
        <v>0</v>
      </c>
      <c r="BF499" s="11">
        <f t="shared" si="30"/>
        <v>0</v>
      </c>
      <c r="BH499" s="21" t="e">
        <f>Table1[[#This Row],[StartTime]]+$BG$2</f>
        <v>#VALUE!</v>
      </c>
    </row>
    <row r="500" spans="3:60" x14ac:dyDescent="0.25">
      <c r="C500" s="35"/>
      <c r="G500" s="1"/>
      <c r="H500" s="1"/>
      <c r="I500" s="1"/>
      <c r="J500" s="1"/>
      <c r="K500" s="33"/>
      <c r="L500" s="22"/>
      <c r="M500" s="1"/>
      <c r="N500" s="1"/>
      <c r="O500" s="1"/>
      <c r="P500" s="1"/>
      <c r="Q500" s="1"/>
      <c r="R500" s="1"/>
      <c r="S500" s="1"/>
      <c r="BB500" s="9" t="str">
        <f t="shared" si="28"/>
        <v>Yes</v>
      </c>
      <c r="BC500" s="9" t="e">
        <f>IF(EFB!$N500=Table1[[#This Row],[ProgramTitle]],"Yes","No")</f>
        <v>#VALUE!</v>
      </c>
      <c r="BD500" s="9" t="e">
        <f>IF(EFB!$S500=Table1[[#This Row],[SeriesEpisodeTitle]],"Yes","No")</f>
        <v>#VALUE!</v>
      </c>
      <c r="BE500" s="11">
        <f t="shared" si="29"/>
        <v>0</v>
      </c>
      <c r="BF500" s="11">
        <f t="shared" si="30"/>
        <v>0</v>
      </c>
      <c r="BH500" s="21" t="e">
        <f>Table1[[#This Row],[StartTime]]+$BG$2</f>
        <v>#VALUE!</v>
      </c>
    </row>
    <row r="501" spans="3:60" x14ac:dyDescent="0.25">
      <c r="C501" s="35"/>
      <c r="G501" s="1"/>
      <c r="H501" s="1"/>
      <c r="I501" s="1"/>
      <c r="J501" s="1"/>
      <c r="K501" s="33"/>
      <c r="L501" s="22"/>
      <c r="M501" s="1"/>
      <c r="N501" s="1"/>
      <c r="O501" s="1"/>
      <c r="P501" s="1"/>
      <c r="Q501" s="1"/>
      <c r="R501" s="1"/>
      <c r="S501" s="1"/>
      <c r="BB501" s="9" t="str">
        <f t="shared" si="28"/>
        <v>Yes</v>
      </c>
      <c r="BC501" s="9" t="e">
        <f>IF(EFB!$N501=Table1[[#This Row],[ProgramTitle]],"Yes","No")</f>
        <v>#VALUE!</v>
      </c>
      <c r="BD501" s="9" t="e">
        <f>IF(EFB!$S501=Table1[[#This Row],[SeriesEpisodeTitle]],"Yes","No")</f>
        <v>#VALUE!</v>
      </c>
      <c r="BE501" s="11">
        <f t="shared" si="29"/>
        <v>0</v>
      </c>
      <c r="BF501" s="11">
        <f t="shared" si="30"/>
        <v>0</v>
      </c>
      <c r="BH501" s="21" t="e">
        <f>Table1[[#This Row],[StartTime]]+$BG$2</f>
        <v>#VALUE!</v>
      </c>
    </row>
    <row r="502" spans="3:60" x14ac:dyDescent="0.25">
      <c r="C502" s="35"/>
      <c r="G502" s="1"/>
      <c r="H502" s="1"/>
      <c r="I502" s="1"/>
      <c r="J502" s="1"/>
      <c r="K502" s="33"/>
      <c r="L502" s="22"/>
      <c r="M502" s="1"/>
      <c r="N502" s="1"/>
      <c r="O502" s="1"/>
      <c r="P502" s="1"/>
      <c r="Q502" s="1"/>
      <c r="R502" s="1"/>
      <c r="S502" s="1"/>
      <c r="BB502" s="9" t="str">
        <f t="shared" si="28"/>
        <v>Yes</v>
      </c>
      <c r="BC502" s="9" t="e">
        <f>IF(EFB!$N502=Table1[[#This Row],[ProgramTitle]],"Yes","No")</f>
        <v>#VALUE!</v>
      </c>
      <c r="BD502" s="9" t="e">
        <f>IF(EFB!$S502=Table1[[#This Row],[SeriesEpisodeTitle]],"Yes","No")</f>
        <v>#VALUE!</v>
      </c>
      <c r="BE502" s="11">
        <f t="shared" si="29"/>
        <v>0</v>
      </c>
      <c r="BF502" s="11">
        <f t="shared" si="30"/>
        <v>0</v>
      </c>
      <c r="BH502" s="21" t="e">
        <f>Table1[[#This Row],[StartTime]]+$BG$2</f>
        <v>#VALUE!</v>
      </c>
    </row>
    <row r="503" spans="3:60" x14ac:dyDescent="0.25">
      <c r="C503" s="35"/>
      <c r="G503" s="1"/>
      <c r="H503" s="1"/>
      <c r="I503" s="1"/>
      <c r="J503" s="1"/>
      <c r="K503" s="33"/>
      <c r="L503" s="22"/>
      <c r="M503" s="1"/>
      <c r="N503" s="1"/>
      <c r="O503" s="1"/>
      <c r="P503" s="1"/>
      <c r="Q503" s="1"/>
      <c r="R503" s="1"/>
      <c r="S503" s="1"/>
      <c r="BB503" s="9" t="str">
        <f t="shared" si="28"/>
        <v>Yes</v>
      </c>
      <c r="BC503" s="9" t="e">
        <f>IF(EFB!$N503=Table1[[#This Row],[ProgramTitle]],"Yes","No")</f>
        <v>#VALUE!</v>
      </c>
      <c r="BD503" s="9" t="e">
        <f>IF(EFB!$S503=Table1[[#This Row],[SeriesEpisodeTitle]],"Yes","No")</f>
        <v>#VALUE!</v>
      </c>
      <c r="BE503" s="11">
        <f t="shared" si="29"/>
        <v>0</v>
      </c>
      <c r="BF503" s="11">
        <f t="shared" si="30"/>
        <v>0</v>
      </c>
      <c r="BH503" s="21" t="e">
        <f>Table1[[#This Row],[StartTime]]+$BG$2</f>
        <v>#VALUE!</v>
      </c>
    </row>
    <row r="504" spans="3:60" x14ac:dyDescent="0.25">
      <c r="C504" s="35"/>
      <c r="G504" s="1"/>
      <c r="H504" s="1"/>
      <c r="I504" s="1"/>
      <c r="J504" s="1"/>
      <c r="K504" s="33"/>
      <c r="L504" s="22"/>
      <c r="M504" s="1"/>
      <c r="N504" s="1"/>
      <c r="O504" s="1"/>
      <c r="P504" s="1"/>
      <c r="Q504" s="1"/>
      <c r="R504" s="1"/>
      <c r="S504" s="1"/>
      <c r="BB504" s="9" t="str">
        <f t="shared" si="28"/>
        <v>Yes</v>
      </c>
      <c r="BC504" s="9" t="e">
        <f>IF(EFB!$N504=Table1[[#This Row],[ProgramTitle]],"Yes","No")</f>
        <v>#VALUE!</v>
      </c>
      <c r="BD504" s="9" t="e">
        <f>IF(EFB!$S504=Table1[[#This Row],[SeriesEpisodeTitle]],"Yes","No")</f>
        <v>#VALUE!</v>
      </c>
      <c r="BE504" s="11">
        <f t="shared" si="29"/>
        <v>0</v>
      </c>
      <c r="BF504" s="11">
        <f t="shared" si="30"/>
        <v>0</v>
      </c>
      <c r="BH504" s="21" t="e">
        <f>Table1[[#This Row],[StartTime]]+$BG$2</f>
        <v>#VALUE!</v>
      </c>
    </row>
    <row r="505" spans="3:60" x14ac:dyDescent="0.25">
      <c r="C505" s="35"/>
      <c r="G505" s="1"/>
      <c r="H505" s="1"/>
      <c r="I505" s="1"/>
      <c r="J505" s="1"/>
      <c r="K505" s="33"/>
      <c r="L505" s="22"/>
      <c r="M505" s="1"/>
      <c r="N505" s="1"/>
      <c r="O505" s="1"/>
      <c r="P505" s="1"/>
      <c r="Q505" s="1"/>
      <c r="R505" s="1"/>
      <c r="S505" s="1"/>
      <c r="BB505" s="9" t="str">
        <f t="shared" si="28"/>
        <v>Yes</v>
      </c>
      <c r="BC505" s="9" t="e">
        <f>IF(EFB!$N505=Table1[[#This Row],[ProgramTitle]],"Yes","No")</f>
        <v>#VALUE!</v>
      </c>
      <c r="BD505" s="9" t="e">
        <f>IF(EFB!$S505=Table1[[#This Row],[SeriesEpisodeTitle]],"Yes","No")</f>
        <v>#VALUE!</v>
      </c>
      <c r="BE505" s="11">
        <f t="shared" si="29"/>
        <v>0</v>
      </c>
      <c r="BF505" s="11">
        <f t="shared" si="30"/>
        <v>0</v>
      </c>
      <c r="BH505" s="21" t="e">
        <f>Table1[[#This Row],[StartTime]]+$BG$2</f>
        <v>#VALUE!</v>
      </c>
    </row>
    <row r="506" spans="3:60" x14ac:dyDescent="0.25">
      <c r="C506" s="35"/>
      <c r="G506" s="1"/>
      <c r="H506" s="1"/>
      <c r="I506" s="1"/>
      <c r="J506" s="1"/>
      <c r="K506" s="33"/>
      <c r="L506" s="22"/>
      <c r="M506" s="1"/>
      <c r="N506" s="1"/>
      <c r="O506" s="1"/>
      <c r="P506" s="1"/>
      <c r="Q506" s="1"/>
      <c r="R506" s="1"/>
      <c r="S506" s="1"/>
      <c r="BB506" s="9" t="str">
        <f t="shared" si="28"/>
        <v>Yes</v>
      </c>
      <c r="BC506" s="9" t="e">
        <f>IF(EFB!$N506=Table1[[#This Row],[ProgramTitle]],"Yes","No")</f>
        <v>#VALUE!</v>
      </c>
      <c r="BD506" s="9" t="e">
        <f>IF(EFB!$S506=Table1[[#This Row],[SeriesEpisodeTitle]],"Yes","No")</f>
        <v>#VALUE!</v>
      </c>
      <c r="BE506" s="11">
        <f t="shared" si="29"/>
        <v>0</v>
      </c>
      <c r="BF506" s="11">
        <f t="shared" si="30"/>
        <v>0</v>
      </c>
      <c r="BH506" s="21" t="e">
        <f>Table1[[#This Row],[StartTime]]+$BG$2</f>
        <v>#VALUE!</v>
      </c>
    </row>
    <row r="507" spans="3:60" x14ac:dyDescent="0.25">
      <c r="C507" s="35"/>
      <c r="G507" s="1"/>
      <c r="H507" s="1"/>
      <c r="I507" s="1"/>
      <c r="J507" s="1"/>
      <c r="K507" s="33"/>
      <c r="L507" s="22"/>
      <c r="M507" s="1"/>
      <c r="N507" s="1"/>
      <c r="O507" s="1"/>
      <c r="P507" s="1"/>
      <c r="Q507" s="1"/>
      <c r="R507" s="1"/>
      <c r="S507" s="1"/>
      <c r="BB507" s="9" t="str">
        <f t="shared" si="28"/>
        <v>Yes</v>
      </c>
      <c r="BC507" s="9" t="e">
        <f>IF(EFB!$N507=Table1[[#This Row],[ProgramTitle]],"Yes","No")</f>
        <v>#VALUE!</v>
      </c>
      <c r="BD507" s="9" t="e">
        <f>IF(EFB!$S507=Table1[[#This Row],[SeriesEpisodeTitle]],"Yes","No")</f>
        <v>#VALUE!</v>
      </c>
      <c r="BE507" s="11">
        <f t="shared" si="29"/>
        <v>0</v>
      </c>
      <c r="BF507" s="11">
        <f t="shared" si="30"/>
        <v>0</v>
      </c>
      <c r="BH507" s="21" t="e">
        <f>Table1[[#This Row],[StartTime]]+$BG$2</f>
        <v>#VALUE!</v>
      </c>
    </row>
    <row r="508" spans="3:60" x14ac:dyDescent="0.25">
      <c r="C508" s="35"/>
      <c r="G508" s="1"/>
      <c r="H508" s="1"/>
      <c r="I508" s="1"/>
      <c r="J508" s="1"/>
      <c r="K508" s="33"/>
      <c r="L508" s="22"/>
      <c r="M508" s="1"/>
      <c r="N508" s="1"/>
      <c r="O508" s="1"/>
      <c r="P508" s="1"/>
      <c r="Q508" s="1"/>
      <c r="R508" s="1"/>
      <c r="S508" s="1"/>
      <c r="BB508" s="9" t="str">
        <f t="shared" si="28"/>
        <v>Yes</v>
      </c>
      <c r="BC508" s="9" t="e">
        <f>IF(EFB!$N508=Table1[[#This Row],[ProgramTitle]],"Yes","No")</f>
        <v>#VALUE!</v>
      </c>
      <c r="BD508" s="9" t="e">
        <f>IF(EFB!$S508=Table1[[#This Row],[SeriesEpisodeTitle]],"Yes","No")</f>
        <v>#VALUE!</v>
      </c>
      <c r="BE508" s="11">
        <f t="shared" si="29"/>
        <v>0</v>
      </c>
      <c r="BF508" s="11">
        <f t="shared" si="30"/>
        <v>0</v>
      </c>
      <c r="BH508" s="21" t="e">
        <f>Table1[[#This Row],[StartTime]]+$BG$2</f>
        <v>#VALUE!</v>
      </c>
    </row>
    <row r="509" spans="3:60" x14ac:dyDescent="0.25">
      <c r="C509" s="35"/>
      <c r="G509" s="1"/>
      <c r="H509" s="1"/>
      <c r="I509" s="1"/>
      <c r="J509" s="1"/>
      <c r="K509" s="33"/>
      <c r="L509" s="22"/>
      <c r="M509" s="1"/>
      <c r="N509" s="1"/>
      <c r="O509" s="1"/>
      <c r="P509" s="1"/>
      <c r="Q509" s="1"/>
      <c r="R509" s="1"/>
      <c r="S509" s="1"/>
      <c r="BB509" s="9" t="str">
        <f t="shared" si="28"/>
        <v>Yes</v>
      </c>
      <c r="BC509" s="9" t="e">
        <f>IF(EFB!$N509=Table1[[#This Row],[ProgramTitle]],"Yes","No")</f>
        <v>#VALUE!</v>
      </c>
      <c r="BD509" s="9" t="e">
        <f>IF(EFB!$S509=Table1[[#This Row],[SeriesEpisodeTitle]],"Yes","No")</f>
        <v>#VALUE!</v>
      </c>
      <c r="BE509" s="11">
        <f t="shared" si="29"/>
        <v>0</v>
      </c>
      <c r="BF509" s="11">
        <f t="shared" si="30"/>
        <v>0</v>
      </c>
      <c r="BH509" s="21" t="e">
        <f>Table1[[#This Row],[StartTime]]+$BG$2</f>
        <v>#VALUE!</v>
      </c>
    </row>
    <row r="510" spans="3:60" x14ac:dyDescent="0.25">
      <c r="C510" s="35"/>
      <c r="G510" s="1"/>
      <c r="H510" s="1"/>
      <c r="I510" s="1"/>
      <c r="J510" s="1"/>
      <c r="K510" s="33"/>
      <c r="L510" s="22"/>
      <c r="M510" s="1"/>
      <c r="N510" s="1"/>
      <c r="O510" s="1"/>
      <c r="P510" s="1"/>
      <c r="Q510" s="1"/>
      <c r="R510" s="1"/>
      <c r="S510" s="1"/>
      <c r="BB510" s="9" t="str">
        <f t="shared" si="28"/>
        <v>Yes</v>
      </c>
      <c r="BC510" s="9" t="e">
        <f>IF(EFB!$N510=Table1[[#This Row],[ProgramTitle]],"Yes","No")</f>
        <v>#VALUE!</v>
      </c>
      <c r="BD510" s="9" t="e">
        <f>IF(EFB!$S510=Table1[[#This Row],[SeriesEpisodeTitle]],"Yes","No")</f>
        <v>#VALUE!</v>
      </c>
      <c r="BE510" s="11">
        <f t="shared" si="29"/>
        <v>0</v>
      </c>
      <c r="BF510" s="11">
        <f t="shared" si="30"/>
        <v>0</v>
      </c>
      <c r="BH510" s="21" t="e">
        <f>Table1[[#This Row],[StartTime]]+$BG$2</f>
        <v>#VALUE!</v>
      </c>
    </row>
    <row r="511" spans="3:60" x14ac:dyDescent="0.25">
      <c r="C511" s="35"/>
      <c r="G511" s="1"/>
      <c r="H511" s="1"/>
      <c r="I511" s="1"/>
      <c r="J511" s="1"/>
      <c r="K511" s="33"/>
      <c r="L511" s="22"/>
      <c r="M511" s="1"/>
      <c r="N511" s="1"/>
      <c r="O511" s="1"/>
      <c r="P511" s="1"/>
      <c r="Q511" s="1"/>
      <c r="R511" s="1"/>
      <c r="S511" s="1"/>
      <c r="BB511" s="9" t="str">
        <f t="shared" si="28"/>
        <v>Yes</v>
      </c>
      <c r="BC511" s="9" t="e">
        <f>IF(EFB!$N511=Table1[[#This Row],[ProgramTitle]],"Yes","No")</f>
        <v>#VALUE!</v>
      </c>
      <c r="BD511" s="9" t="e">
        <f>IF(EFB!$S511=Table1[[#This Row],[SeriesEpisodeTitle]],"Yes","No")</f>
        <v>#VALUE!</v>
      </c>
      <c r="BE511" s="11">
        <f t="shared" si="29"/>
        <v>0</v>
      </c>
      <c r="BF511" s="11">
        <f t="shared" si="30"/>
        <v>0</v>
      </c>
      <c r="BH511" s="21" t="e">
        <f>Table1[[#This Row],[StartTime]]+$BG$2</f>
        <v>#VALUE!</v>
      </c>
    </row>
    <row r="512" spans="3:60" x14ac:dyDescent="0.25">
      <c r="C512" s="35"/>
      <c r="G512" s="1"/>
      <c r="H512" s="1"/>
      <c r="I512" s="1"/>
      <c r="J512" s="1"/>
      <c r="K512" s="33"/>
      <c r="L512" s="22"/>
      <c r="M512" s="1"/>
      <c r="N512" s="1"/>
      <c r="O512" s="1"/>
      <c r="P512" s="1"/>
      <c r="Q512" s="1"/>
      <c r="R512" s="1"/>
      <c r="S512" s="1"/>
      <c r="BB512" s="9" t="str">
        <f t="shared" si="28"/>
        <v>Yes</v>
      </c>
      <c r="BC512" s="9" t="e">
        <f>IF(EFB!$N512=Table1[[#This Row],[ProgramTitle]],"Yes","No")</f>
        <v>#VALUE!</v>
      </c>
      <c r="BD512" s="9" t="e">
        <f>IF(EFB!$S512=Table1[[#This Row],[SeriesEpisodeTitle]],"Yes","No")</f>
        <v>#VALUE!</v>
      </c>
      <c r="BE512" s="11">
        <f t="shared" si="29"/>
        <v>0</v>
      </c>
      <c r="BF512" s="11">
        <f t="shared" si="30"/>
        <v>0</v>
      </c>
      <c r="BH512" s="21" t="e">
        <f>Table1[[#This Row],[StartTime]]+$BG$2</f>
        <v>#VALUE!</v>
      </c>
    </row>
    <row r="513" spans="3:60" x14ac:dyDescent="0.25">
      <c r="C513" s="35"/>
      <c r="G513" s="1"/>
      <c r="H513" s="1"/>
      <c r="I513" s="1"/>
      <c r="J513" s="1"/>
      <c r="K513" s="33"/>
      <c r="L513" s="22"/>
      <c r="M513" s="1"/>
      <c r="N513" s="1"/>
      <c r="O513" s="1"/>
      <c r="P513" s="1"/>
      <c r="Q513" s="1"/>
      <c r="R513" s="1"/>
      <c r="S513" s="1"/>
      <c r="BB513" s="9" t="str">
        <f t="shared" si="28"/>
        <v>Yes</v>
      </c>
      <c r="BC513" s="9" t="e">
        <f>IF(EFB!$N513=Table1[[#This Row],[ProgramTitle]],"Yes","No")</f>
        <v>#VALUE!</v>
      </c>
      <c r="BD513" s="9" t="e">
        <f>IF(EFB!$S513=Table1[[#This Row],[SeriesEpisodeTitle]],"Yes","No")</f>
        <v>#VALUE!</v>
      </c>
      <c r="BE513" s="11">
        <f t="shared" si="29"/>
        <v>0</v>
      </c>
      <c r="BF513" s="11">
        <f t="shared" si="30"/>
        <v>0</v>
      </c>
      <c r="BH513" s="21" t="e">
        <f>Table1[[#This Row],[StartTime]]+$BG$2</f>
        <v>#VALUE!</v>
      </c>
    </row>
    <row r="514" spans="3:60" x14ac:dyDescent="0.25">
      <c r="C514" s="35"/>
      <c r="G514" s="1"/>
      <c r="H514" s="1"/>
      <c r="I514" s="1"/>
      <c r="J514" s="1"/>
      <c r="K514" s="33"/>
      <c r="L514" s="22"/>
      <c r="M514" s="1"/>
      <c r="N514" s="1"/>
      <c r="O514" s="1"/>
      <c r="P514" s="1"/>
      <c r="Q514" s="1"/>
      <c r="R514" s="1"/>
      <c r="S514" s="1"/>
      <c r="BB514" s="9" t="str">
        <f t="shared" si="28"/>
        <v>Yes</v>
      </c>
      <c r="BC514" s="9" t="e">
        <f>IF(EFB!$N514=Table1[[#This Row],[ProgramTitle]],"Yes","No")</f>
        <v>#VALUE!</v>
      </c>
      <c r="BD514" s="9" t="e">
        <f>IF(EFB!$S514=Table1[[#This Row],[SeriesEpisodeTitle]],"Yes","No")</f>
        <v>#VALUE!</v>
      </c>
      <c r="BE514" s="11">
        <f t="shared" si="29"/>
        <v>0</v>
      </c>
      <c r="BF514" s="11">
        <f t="shared" si="30"/>
        <v>0</v>
      </c>
      <c r="BH514" s="21" t="e">
        <f>Table1[[#This Row],[StartTime]]+$BG$2</f>
        <v>#VALUE!</v>
      </c>
    </row>
    <row r="515" spans="3:60" x14ac:dyDescent="0.25">
      <c r="C515" s="35"/>
      <c r="G515" s="1"/>
      <c r="H515" s="1"/>
      <c r="I515" s="1"/>
      <c r="J515" s="1"/>
      <c r="K515" s="33"/>
      <c r="L515" s="22"/>
      <c r="M515" s="1"/>
      <c r="N515" s="1"/>
      <c r="O515" s="1"/>
      <c r="P515" s="1"/>
      <c r="Q515" s="1"/>
      <c r="R515" s="1"/>
      <c r="S515" s="1"/>
      <c r="BB515" s="9" t="str">
        <f t="shared" si="28"/>
        <v>Yes</v>
      </c>
      <c r="BC515" s="9" t="e">
        <f>IF(EFB!$N515=Table1[[#This Row],[ProgramTitle]],"Yes","No")</f>
        <v>#VALUE!</v>
      </c>
      <c r="BD515" s="9" t="e">
        <f>IF(EFB!$S515=Table1[[#This Row],[SeriesEpisodeTitle]],"Yes","No")</f>
        <v>#VALUE!</v>
      </c>
      <c r="BE515" s="11">
        <f t="shared" si="29"/>
        <v>0</v>
      </c>
      <c r="BF515" s="11">
        <f t="shared" si="30"/>
        <v>0</v>
      </c>
      <c r="BH515" s="21" t="e">
        <f>Table1[[#This Row],[StartTime]]+$BG$2</f>
        <v>#VALUE!</v>
      </c>
    </row>
    <row r="516" spans="3:60" x14ac:dyDescent="0.25">
      <c r="C516" s="35"/>
      <c r="G516" s="1"/>
      <c r="H516" s="1"/>
      <c r="I516" s="1"/>
      <c r="J516" s="1"/>
      <c r="K516" s="33"/>
      <c r="L516" s="22"/>
      <c r="M516" s="1"/>
      <c r="N516" s="1"/>
      <c r="O516" s="1"/>
      <c r="P516" s="1"/>
      <c r="Q516" s="1"/>
      <c r="R516" s="1"/>
      <c r="S516" s="1"/>
      <c r="BB516" s="9" t="str">
        <f t="shared" si="28"/>
        <v>Yes</v>
      </c>
      <c r="BC516" s="9" t="e">
        <f>IF(EFB!$N516=Table1[[#This Row],[ProgramTitle]],"Yes","No")</f>
        <v>#VALUE!</v>
      </c>
      <c r="BD516" s="9" t="e">
        <f>IF(EFB!$S516=Table1[[#This Row],[SeriesEpisodeTitle]],"Yes","No")</f>
        <v>#VALUE!</v>
      </c>
      <c r="BE516" s="11">
        <f t="shared" si="29"/>
        <v>0</v>
      </c>
      <c r="BF516" s="11">
        <f t="shared" si="30"/>
        <v>0</v>
      </c>
      <c r="BH516" s="21" t="e">
        <f>Table1[[#This Row],[StartTime]]+$BG$2</f>
        <v>#VALUE!</v>
      </c>
    </row>
    <row r="517" spans="3:60" x14ac:dyDescent="0.25">
      <c r="C517" s="35"/>
      <c r="G517" s="1"/>
      <c r="H517" s="1"/>
      <c r="I517" s="1"/>
      <c r="J517" s="1"/>
      <c r="K517" s="33"/>
      <c r="L517" s="22"/>
      <c r="M517" s="1"/>
      <c r="N517" s="1"/>
      <c r="O517" s="1"/>
      <c r="P517" s="1"/>
      <c r="Q517" s="1"/>
      <c r="R517" s="1"/>
      <c r="S517" s="1"/>
      <c r="BB517" s="9" t="str">
        <f t="shared" si="28"/>
        <v>Yes</v>
      </c>
      <c r="BC517" s="9" t="e">
        <f>IF(EFB!$N517=Table1[[#This Row],[ProgramTitle]],"Yes","No")</f>
        <v>#VALUE!</v>
      </c>
      <c r="BD517" s="9" t="e">
        <f>IF(EFB!$S517=Table1[[#This Row],[SeriesEpisodeTitle]],"Yes","No")</f>
        <v>#VALUE!</v>
      </c>
      <c r="BE517" s="11">
        <f t="shared" si="29"/>
        <v>0</v>
      </c>
      <c r="BF517" s="11">
        <f t="shared" si="30"/>
        <v>0</v>
      </c>
      <c r="BH517" s="21" t="e">
        <f>Table1[[#This Row],[StartTime]]+$BG$2</f>
        <v>#VALUE!</v>
      </c>
    </row>
    <row r="518" spans="3:60" x14ac:dyDescent="0.25">
      <c r="C518" s="35"/>
      <c r="G518" s="1"/>
      <c r="H518" s="1"/>
      <c r="I518" s="1"/>
      <c r="J518" s="1"/>
      <c r="K518" s="33"/>
      <c r="L518" s="22"/>
      <c r="M518" s="1"/>
      <c r="N518" s="1"/>
      <c r="O518" s="1"/>
      <c r="P518" s="1"/>
      <c r="Q518" s="1"/>
      <c r="R518" s="1"/>
      <c r="S518" s="1"/>
      <c r="BB518" s="9" t="str">
        <f t="shared" si="28"/>
        <v>Yes</v>
      </c>
      <c r="BC518" s="9" t="e">
        <f>IF(EFB!$N518=Table1[[#This Row],[ProgramTitle]],"Yes","No")</f>
        <v>#VALUE!</v>
      </c>
      <c r="BD518" s="9" t="e">
        <f>IF(EFB!$S518=Table1[[#This Row],[SeriesEpisodeTitle]],"Yes","No")</f>
        <v>#VALUE!</v>
      </c>
      <c r="BE518" s="11">
        <f t="shared" si="29"/>
        <v>0</v>
      </c>
      <c r="BF518" s="11">
        <f t="shared" si="30"/>
        <v>0</v>
      </c>
      <c r="BH518" s="21" t="e">
        <f>Table1[[#This Row],[StartTime]]+$BG$2</f>
        <v>#VALUE!</v>
      </c>
    </row>
    <row r="519" spans="3:60" x14ac:dyDescent="0.25">
      <c r="C519" s="35"/>
      <c r="G519" s="1"/>
      <c r="H519" s="1"/>
      <c r="I519" s="1"/>
      <c r="J519" s="1"/>
      <c r="K519" s="33"/>
      <c r="L519" s="22"/>
      <c r="M519" s="1"/>
      <c r="N519" s="1"/>
      <c r="O519" s="1"/>
      <c r="P519" s="1"/>
      <c r="Q519" s="1"/>
      <c r="R519" s="1"/>
      <c r="S519" s="1"/>
      <c r="BB519" s="9" t="str">
        <f t="shared" si="28"/>
        <v>Yes</v>
      </c>
      <c r="BC519" s="9" t="e">
        <f>IF(EFB!$N519=Table1[[#This Row],[ProgramTitle]],"Yes","No")</f>
        <v>#VALUE!</v>
      </c>
      <c r="BD519" s="9" t="e">
        <f>IF(EFB!$S519=Table1[[#This Row],[SeriesEpisodeTitle]],"Yes","No")</f>
        <v>#VALUE!</v>
      </c>
      <c r="BE519" s="11">
        <f t="shared" si="29"/>
        <v>0</v>
      </c>
      <c r="BF519" s="11">
        <f t="shared" si="30"/>
        <v>0</v>
      </c>
      <c r="BH519" s="21" t="e">
        <f>Table1[[#This Row],[StartTime]]+$BG$2</f>
        <v>#VALUE!</v>
      </c>
    </row>
    <row r="520" spans="3:60" x14ac:dyDescent="0.25">
      <c r="C520" s="35"/>
      <c r="G520" s="1"/>
      <c r="H520" s="1"/>
      <c r="I520" s="1"/>
      <c r="J520" s="1"/>
      <c r="K520" s="33"/>
      <c r="L520" s="22"/>
      <c r="M520" s="1"/>
      <c r="N520" s="1"/>
      <c r="O520" s="1"/>
      <c r="P520" s="1"/>
      <c r="Q520" s="1"/>
      <c r="R520" s="1"/>
      <c r="S520" s="1"/>
      <c r="BB520" s="9" t="str">
        <f t="shared" si="28"/>
        <v>Yes</v>
      </c>
      <c r="BC520" s="9" t="e">
        <f>IF(EFB!$N520=Table1[[#This Row],[ProgramTitle]],"Yes","No")</f>
        <v>#VALUE!</v>
      </c>
      <c r="BD520" s="9" t="e">
        <f>IF(EFB!$S520=Table1[[#This Row],[SeriesEpisodeTitle]],"Yes","No")</f>
        <v>#VALUE!</v>
      </c>
      <c r="BE520" s="11">
        <f t="shared" si="29"/>
        <v>0</v>
      </c>
      <c r="BF520" s="11">
        <f t="shared" si="30"/>
        <v>0</v>
      </c>
      <c r="BH520" s="21" t="e">
        <f>Table1[[#This Row],[StartTime]]+$BG$2</f>
        <v>#VALUE!</v>
      </c>
    </row>
    <row r="521" spans="3:60" x14ac:dyDescent="0.25">
      <c r="C521" s="35"/>
      <c r="G521" s="1"/>
      <c r="H521" s="1"/>
      <c r="I521" s="1"/>
      <c r="J521" s="1"/>
      <c r="K521" s="33"/>
      <c r="L521" s="22"/>
      <c r="M521" s="1"/>
      <c r="N521" s="1"/>
      <c r="O521" s="1"/>
      <c r="P521" s="1"/>
      <c r="Q521" s="1"/>
      <c r="R521" s="1"/>
      <c r="S521" s="1"/>
      <c r="BB521" s="9" t="str">
        <f t="shared" si="28"/>
        <v>Yes</v>
      </c>
      <c r="BC521" s="9" t="e">
        <f>IF(EFB!$N521=Table1[[#This Row],[ProgramTitle]],"Yes","No")</f>
        <v>#VALUE!</v>
      </c>
      <c r="BD521" s="9" t="e">
        <f>IF(EFB!$S521=Table1[[#This Row],[SeriesEpisodeTitle]],"Yes","No")</f>
        <v>#VALUE!</v>
      </c>
      <c r="BE521" s="11">
        <f t="shared" si="29"/>
        <v>0</v>
      </c>
      <c r="BF521" s="11">
        <f t="shared" si="30"/>
        <v>0</v>
      </c>
      <c r="BH521" s="21" t="e">
        <f>Table1[[#This Row],[StartTime]]+$BG$2</f>
        <v>#VALUE!</v>
      </c>
    </row>
    <row r="522" spans="3:60" x14ac:dyDescent="0.25">
      <c r="C522" s="35"/>
      <c r="G522" s="1"/>
      <c r="H522" s="1"/>
      <c r="I522" s="1"/>
      <c r="J522" s="1"/>
      <c r="K522" s="33"/>
      <c r="L522" s="22"/>
      <c r="M522" s="1"/>
      <c r="N522" s="1"/>
      <c r="O522" s="1"/>
      <c r="P522" s="1"/>
      <c r="Q522" s="1"/>
      <c r="R522" s="1"/>
      <c r="S522" s="1"/>
      <c r="BB522" s="9" t="str">
        <f t="shared" si="28"/>
        <v>Yes</v>
      </c>
      <c r="BC522" s="9" t="e">
        <f>IF(EFB!$N522=Table1[[#This Row],[ProgramTitle]],"Yes","No")</f>
        <v>#VALUE!</v>
      </c>
      <c r="BD522" s="9" t="e">
        <f>IF(EFB!$S522=Table1[[#This Row],[SeriesEpisodeTitle]],"Yes","No")</f>
        <v>#VALUE!</v>
      </c>
      <c r="BE522" s="11">
        <f t="shared" si="29"/>
        <v>0</v>
      </c>
      <c r="BF522" s="11">
        <f t="shared" si="30"/>
        <v>0</v>
      </c>
      <c r="BH522" s="21" t="e">
        <f>Table1[[#This Row],[StartTime]]+$BG$2</f>
        <v>#VALUE!</v>
      </c>
    </row>
    <row r="523" spans="3:60" x14ac:dyDescent="0.25">
      <c r="C523" s="35"/>
      <c r="G523" s="1"/>
      <c r="H523" s="1"/>
      <c r="I523" s="1"/>
      <c r="J523" s="1"/>
      <c r="K523" s="33"/>
      <c r="L523" s="22"/>
      <c r="M523" s="1"/>
      <c r="N523" s="1"/>
      <c r="O523" s="1"/>
      <c r="P523" s="1"/>
      <c r="Q523" s="1"/>
      <c r="R523" s="1"/>
      <c r="S523" s="1"/>
      <c r="BB523" s="9" t="str">
        <f t="shared" si="28"/>
        <v>Yes</v>
      </c>
      <c r="BC523" s="9" t="e">
        <f>IF(EFB!$N523=Table1[[#This Row],[ProgramTitle]],"Yes","No")</f>
        <v>#VALUE!</v>
      </c>
      <c r="BD523" s="9" t="e">
        <f>IF(EFB!$S523=Table1[[#This Row],[SeriesEpisodeTitle]],"Yes","No")</f>
        <v>#VALUE!</v>
      </c>
      <c r="BE523" s="11">
        <f t="shared" si="29"/>
        <v>0</v>
      </c>
      <c r="BF523" s="11">
        <f t="shared" si="30"/>
        <v>0</v>
      </c>
      <c r="BH523" s="21" t="e">
        <f>Table1[[#This Row],[StartTime]]+$BG$2</f>
        <v>#VALUE!</v>
      </c>
    </row>
    <row r="524" spans="3:60" x14ac:dyDescent="0.25">
      <c r="C524" s="35"/>
      <c r="G524" s="1"/>
      <c r="H524" s="1"/>
      <c r="I524" s="1"/>
      <c r="J524" s="1"/>
      <c r="K524" s="33"/>
      <c r="L524" s="22"/>
      <c r="M524" s="1"/>
      <c r="N524" s="1"/>
      <c r="O524" s="1"/>
      <c r="P524" s="1"/>
      <c r="Q524" s="1"/>
      <c r="R524" s="1"/>
      <c r="S524" s="1"/>
      <c r="BB524" s="9" t="str">
        <f t="shared" si="28"/>
        <v>Yes</v>
      </c>
      <c r="BC524" s="9" t="e">
        <f>IF(EFB!$N524=Table1[[#This Row],[ProgramTitle]],"Yes","No")</f>
        <v>#VALUE!</v>
      </c>
      <c r="BD524" s="9" t="e">
        <f>IF(EFB!$S524=Table1[[#This Row],[SeriesEpisodeTitle]],"Yes","No")</f>
        <v>#VALUE!</v>
      </c>
      <c r="BE524" s="11">
        <f t="shared" si="29"/>
        <v>0</v>
      </c>
      <c r="BF524" s="11">
        <f t="shared" si="30"/>
        <v>0</v>
      </c>
      <c r="BH524" s="21" t="e">
        <f>Table1[[#This Row],[StartTime]]+$BG$2</f>
        <v>#VALUE!</v>
      </c>
    </row>
    <row r="525" spans="3:60" x14ac:dyDescent="0.25">
      <c r="C525" s="35"/>
      <c r="G525" s="1"/>
      <c r="H525" s="1"/>
      <c r="I525" s="1"/>
      <c r="J525" s="1"/>
      <c r="K525" s="33"/>
      <c r="L525" s="22"/>
      <c r="M525" s="1"/>
      <c r="N525" s="1"/>
      <c r="O525" s="1"/>
      <c r="P525" s="1"/>
      <c r="Q525" s="1"/>
      <c r="R525" s="1"/>
      <c r="S525" s="1"/>
      <c r="BB525" s="9" t="str">
        <f t="shared" si="28"/>
        <v>Yes</v>
      </c>
      <c r="BC525" s="9" t="e">
        <f>IF(EFB!$N525=Table1[[#This Row],[ProgramTitle]],"Yes","No")</f>
        <v>#VALUE!</v>
      </c>
      <c r="BD525" s="9" t="e">
        <f>IF(EFB!$S525=Table1[[#This Row],[SeriesEpisodeTitle]],"Yes","No")</f>
        <v>#VALUE!</v>
      </c>
      <c r="BE525" s="11">
        <f t="shared" si="29"/>
        <v>0</v>
      </c>
      <c r="BF525" s="11">
        <f t="shared" si="30"/>
        <v>0</v>
      </c>
      <c r="BH525" s="21" t="e">
        <f>Table1[[#This Row],[StartTime]]+$BG$2</f>
        <v>#VALUE!</v>
      </c>
    </row>
    <row r="526" spans="3:60" x14ac:dyDescent="0.25">
      <c r="C526" s="35"/>
      <c r="G526" s="1"/>
      <c r="H526" s="1"/>
      <c r="I526" s="1"/>
      <c r="J526" s="1"/>
      <c r="K526" s="33"/>
      <c r="L526" s="22"/>
      <c r="M526" s="1"/>
      <c r="N526" s="1"/>
      <c r="O526" s="1"/>
      <c r="P526" s="1"/>
      <c r="Q526" s="1"/>
      <c r="R526" s="1"/>
      <c r="S526" s="1"/>
      <c r="BB526" s="9" t="str">
        <f t="shared" si="28"/>
        <v>Yes</v>
      </c>
      <c r="BC526" s="9" t="e">
        <f>IF(EFB!$N526=Table1[[#This Row],[ProgramTitle]],"Yes","No")</f>
        <v>#VALUE!</v>
      </c>
      <c r="BD526" s="9" t="e">
        <f>IF(EFB!$S526=Table1[[#This Row],[SeriesEpisodeTitle]],"Yes","No")</f>
        <v>#VALUE!</v>
      </c>
      <c r="BE526" s="11">
        <f t="shared" si="29"/>
        <v>0</v>
      </c>
      <c r="BF526" s="11">
        <f t="shared" si="30"/>
        <v>0</v>
      </c>
      <c r="BH526" s="21" t="e">
        <f>Table1[[#This Row],[StartTime]]+$BG$2</f>
        <v>#VALUE!</v>
      </c>
    </row>
    <row r="527" spans="3:60" x14ac:dyDescent="0.25">
      <c r="C527" s="35"/>
      <c r="G527" s="1"/>
      <c r="H527" s="1"/>
      <c r="I527" s="1"/>
      <c r="J527" s="1"/>
      <c r="K527" s="33"/>
      <c r="L527" s="22"/>
      <c r="M527" s="1"/>
      <c r="N527" s="1"/>
      <c r="O527" s="1"/>
      <c r="P527" s="1"/>
      <c r="Q527" s="1"/>
      <c r="R527" s="1"/>
      <c r="S527" s="1"/>
      <c r="BB527" s="9" t="str">
        <f t="shared" si="28"/>
        <v>Yes</v>
      </c>
      <c r="BC527" s="9" t="e">
        <f>IF(EFB!$N527=Table1[[#This Row],[ProgramTitle]],"Yes","No")</f>
        <v>#VALUE!</v>
      </c>
      <c r="BD527" s="9" t="e">
        <f>IF(EFB!$S527=Table1[[#This Row],[SeriesEpisodeTitle]],"Yes","No")</f>
        <v>#VALUE!</v>
      </c>
      <c r="BE527" s="11">
        <f t="shared" si="29"/>
        <v>0</v>
      </c>
      <c r="BF527" s="11">
        <f t="shared" si="30"/>
        <v>0</v>
      </c>
      <c r="BH527" s="21" t="e">
        <f>Table1[[#This Row],[StartTime]]+$BG$2</f>
        <v>#VALUE!</v>
      </c>
    </row>
    <row r="528" spans="3:60" x14ac:dyDescent="0.25">
      <c r="C528" s="35"/>
      <c r="G528" s="1"/>
      <c r="H528" s="1"/>
      <c r="I528" s="1"/>
      <c r="J528" s="1"/>
      <c r="K528" s="33"/>
      <c r="L528" s="22"/>
      <c r="M528" s="1"/>
      <c r="N528" s="1"/>
      <c r="O528" s="1"/>
      <c r="P528" s="1"/>
      <c r="Q528" s="1"/>
      <c r="R528" s="1"/>
      <c r="S528" s="1"/>
      <c r="BB528" s="9" t="str">
        <f t="shared" si="28"/>
        <v>Yes</v>
      </c>
      <c r="BC528" s="9" t="e">
        <f>IF(EFB!$N528=Table1[[#This Row],[ProgramTitle]],"Yes","No")</f>
        <v>#VALUE!</v>
      </c>
      <c r="BD528" s="9" t="e">
        <f>IF(EFB!$S528=Table1[[#This Row],[SeriesEpisodeTitle]],"Yes","No")</f>
        <v>#VALUE!</v>
      </c>
      <c r="BE528" s="11">
        <f t="shared" si="29"/>
        <v>0</v>
      </c>
      <c r="BF528" s="11">
        <f t="shared" si="30"/>
        <v>0</v>
      </c>
      <c r="BH528" s="21" t="e">
        <f>Table1[[#This Row],[StartTime]]+$BG$2</f>
        <v>#VALUE!</v>
      </c>
    </row>
    <row r="529" spans="3:60" x14ac:dyDescent="0.25">
      <c r="C529" s="35"/>
      <c r="G529" s="1"/>
      <c r="H529" s="1"/>
      <c r="I529" s="1"/>
      <c r="J529" s="1"/>
      <c r="K529" s="33"/>
      <c r="L529" s="22"/>
      <c r="M529" s="1"/>
      <c r="N529" s="1"/>
      <c r="O529" s="1"/>
      <c r="P529" s="1"/>
      <c r="Q529" s="1"/>
      <c r="R529" s="1"/>
      <c r="S529" s="1"/>
      <c r="BB529" s="9" t="str">
        <f t="shared" si="28"/>
        <v>Yes</v>
      </c>
      <c r="BC529" s="9" t="e">
        <f>IF(EFB!$N529=Table1[[#This Row],[ProgramTitle]],"Yes","No")</f>
        <v>#VALUE!</v>
      </c>
      <c r="BD529" s="9" t="e">
        <f>IF(EFB!$S529=Table1[[#This Row],[SeriesEpisodeTitle]],"Yes","No")</f>
        <v>#VALUE!</v>
      </c>
      <c r="BE529" s="11">
        <f t="shared" si="29"/>
        <v>0</v>
      </c>
      <c r="BF529" s="11">
        <f t="shared" si="30"/>
        <v>0</v>
      </c>
      <c r="BH529" s="21" t="e">
        <f>Table1[[#This Row],[StartTime]]+$BG$2</f>
        <v>#VALUE!</v>
      </c>
    </row>
    <row r="530" spans="3:60" x14ac:dyDescent="0.25">
      <c r="C530" s="35"/>
      <c r="G530" s="1"/>
      <c r="H530" s="1"/>
      <c r="I530" s="1"/>
      <c r="J530" s="1"/>
      <c r="K530" s="33"/>
      <c r="L530" s="22"/>
      <c r="M530" s="1"/>
      <c r="N530" s="1"/>
      <c r="O530" s="1"/>
      <c r="P530" s="1"/>
      <c r="Q530" s="1"/>
      <c r="R530" s="1"/>
      <c r="S530" s="1"/>
      <c r="BB530" s="9" t="str">
        <f t="shared" si="28"/>
        <v>Yes</v>
      </c>
      <c r="BC530" s="9" t="e">
        <f>IF(EFB!$N530=Table1[[#This Row],[ProgramTitle]],"Yes","No")</f>
        <v>#VALUE!</v>
      </c>
      <c r="BD530" s="9" t="e">
        <f>IF(EFB!$S530=Table1[[#This Row],[SeriesEpisodeTitle]],"Yes","No")</f>
        <v>#VALUE!</v>
      </c>
      <c r="BE530" s="11">
        <f t="shared" si="29"/>
        <v>0</v>
      </c>
      <c r="BF530" s="11">
        <f t="shared" si="30"/>
        <v>0</v>
      </c>
      <c r="BH530" s="21" t="e">
        <f>Table1[[#This Row],[StartTime]]+$BG$2</f>
        <v>#VALUE!</v>
      </c>
    </row>
    <row r="531" spans="3:60" x14ac:dyDescent="0.25">
      <c r="C531" s="35"/>
      <c r="G531" s="1"/>
      <c r="H531" s="1"/>
      <c r="I531" s="1"/>
      <c r="J531" s="1"/>
      <c r="K531" s="33"/>
      <c r="L531" s="22"/>
      <c r="M531" s="1"/>
      <c r="N531" s="1"/>
      <c r="O531" s="1"/>
      <c r="P531" s="1"/>
      <c r="Q531" s="1"/>
      <c r="R531" s="1"/>
      <c r="S531" s="1"/>
      <c r="BB531" s="9" t="str">
        <f t="shared" si="28"/>
        <v>Yes</v>
      </c>
      <c r="BC531" s="9" t="e">
        <f>IF(EFB!$N531=Table1[[#This Row],[ProgramTitle]],"Yes","No")</f>
        <v>#VALUE!</v>
      </c>
      <c r="BD531" s="9" t="e">
        <f>IF(EFB!$S531=Table1[[#This Row],[SeriesEpisodeTitle]],"Yes","No")</f>
        <v>#VALUE!</v>
      </c>
      <c r="BE531" s="11">
        <f t="shared" si="29"/>
        <v>0</v>
      </c>
      <c r="BF531" s="11">
        <f t="shared" si="30"/>
        <v>0</v>
      </c>
      <c r="BH531" s="21" t="e">
        <f>Table1[[#This Row],[StartTime]]+$BG$2</f>
        <v>#VALUE!</v>
      </c>
    </row>
    <row r="532" spans="3:60" x14ac:dyDescent="0.25">
      <c r="C532" s="35"/>
      <c r="G532" s="1"/>
      <c r="H532" s="1"/>
      <c r="I532" s="1"/>
      <c r="J532" s="1"/>
      <c r="K532" s="33"/>
      <c r="L532" s="22"/>
      <c r="M532" s="1"/>
      <c r="N532" s="1"/>
      <c r="O532" s="1"/>
      <c r="P532" s="1"/>
      <c r="Q532" s="1"/>
      <c r="R532" s="1"/>
      <c r="S532" s="1"/>
      <c r="BB532" s="9" t="str">
        <f t="shared" si="28"/>
        <v>Yes</v>
      </c>
      <c r="BC532" s="9" t="e">
        <f>IF(EFB!$N532=Table1[[#This Row],[ProgramTitle]],"Yes","No")</f>
        <v>#VALUE!</v>
      </c>
      <c r="BD532" s="9" t="e">
        <f>IF(EFB!$S532=Table1[[#This Row],[SeriesEpisodeTitle]],"Yes","No")</f>
        <v>#VALUE!</v>
      </c>
      <c r="BE532" s="11">
        <f t="shared" si="29"/>
        <v>0</v>
      </c>
      <c r="BF532" s="11">
        <f t="shared" si="30"/>
        <v>0</v>
      </c>
      <c r="BH532" s="21" t="e">
        <f>Table1[[#This Row],[StartTime]]+$BG$2</f>
        <v>#VALUE!</v>
      </c>
    </row>
    <row r="533" spans="3:60" x14ac:dyDescent="0.25">
      <c r="C533" s="35"/>
      <c r="G533" s="1"/>
      <c r="H533" s="1"/>
      <c r="I533" s="1"/>
      <c r="J533" s="1"/>
      <c r="K533" s="33"/>
      <c r="L533" s="22"/>
      <c r="M533" s="1"/>
      <c r="N533" s="1"/>
      <c r="O533" s="1"/>
      <c r="P533" s="1"/>
      <c r="Q533" s="1"/>
      <c r="R533" s="1"/>
      <c r="S533" s="1"/>
      <c r="BB533" s="9" t="str">
        <f t="shared" si="28"/>
        <v>Yes</v>
      </c>
      <c r="BC533" s="9" t="e">
        <f>IF(EFB!$N533=Table1[[#This Row],[ProgramTitle]],"Yes","No")</f>
        <v>#VALUE!</v>
      </c>
      <c r="BD533" s="9" t="e">
        <f>IF(EFB!$S533=Table1[[#This Row],[SeriesEpisodeTitle]],"Yes","No")</f>
        <v>#VALUE!</v>
      </c>
      <c r="BE533" s="11">
        <f t="shared" si="29"/>
        <v>0</v>
      </c>
      <c r="BF533" s="11">
        <f t="shared" si="30"/>
        <v>0</v>
      </c>
      <c r="BH533" s="21" t="e">
        <f>Table1[[#This Row],[StartTime]]+$BG$2</f>
        <v>#VALUE!</v>
      </c>
    </row>
    <row r="534" spans="3:60" x14ac:dyDescent="0.25">
      <c r="C534" s="35"/>
      <c r="G534" s="1"/>
      <c r="H534" s="1"/>
      <c r="I534" s="1"/>
      <c r="J534" s="1"/>
      <c r="K534" s="33"/>
      <c r="L534" s="22"/>
      <c r="M534" s="1"/>
      <c r="N534" s="1"/>
      <c r="O534" s="1"/>
      <c r="P534" s="1"/>
      <c r="Q534" s="1"/>
      <c r="R534" s="1"/>
      <c r="S534" s="1"/>
      <c r="BB534" s="9" t="str">
        <f t="shared" si="28"/>
        <v>Yes</v>
      </c>
      <c r="BC534" s="9" t="e">
        <f>IF(EFB!$N534=Table1[[#This Row],[ProgramTitle]],"Yes","No")</f>
        <v>#VALUE!</v>
      </c>
      <c r="BD534" s="9" t="e">
        <f>IF(EFB!$S534=Table1[[#This Row],[SeriesEpisodeTitle]],"Yes","No")</f>
        <v>#VALUE!</v>
      </c>
      <c r="BE534" s="11">
        <f t="shared" si="29"/>
        <v>0</v>
      </c>
      <c r="BF534" s="11">
        <f t="shared" si="30"/>
        <v>0</v>
      </c>
      <c r="BH534" s="21" t="e">
        <f>Table1[[#This Row],[StartTime]]+$BG$2</f>
        <v>#VALUE!</v>
      </c>
    </row>
    <row r="535" spans="3:60" x14ac:dyDescent="0.25">
      <c r="C535" s="35"/>
      <c r="G535" s="1"/>
      <c r="H535" s="1"/>
      <c r="I535" s="1"/>
      <c r="J535" s="1"/>
      <c r="K535" s="33"/>
      <c r="L535" s="22"/>
      <c r="M535" s="1"/>
      <c r="N535" s="1"/>
      <c r="O535" s="1"/>
      <c r="P535" s="1"/>
      <c r="Q535" s="1"/>
      <c r="R535" s="1"/>
      <c r="S535" s="1"/>
      <c r="BB535" s="9" t="str">
        <f t="shared" si="28"/>
        <v>Yes</v>
      </c>
      <c r="BC535" s="9" t="e">
        <f>IF(EFB!$N535=Table1[[#This Row],[ProgramTitle]],"Yes","No")</f>
        <v>#VALUE!</v>
      </c>
      <c r="BD535" s="9" t="e">
        <f>IF(EFB!$S535=Table1[[#This Row],[SeriesEpisodeTitle]],"Yes","No")</f>
        <v>#VALUE!</v>
      </c>
      <c r="BE535" s="11">
        <f t="shared" si="29"/>
        <v>0</v>
      </c>
      <c r="BF535" s="11">
        <f t="shared" si="30"/>
        <v>0</v>
      </c>
      <c r="BH535" s="21" t="e">
        <f>Table1[[#This Row],[StartTime]]+$BG$2</f>
        <v>#VALUE!</v>
      </c>
    </row>
    <row r="536" spans="3:60" x14ac:dyDescent="0.25">
      <c r="C536" s="35"/>
      <c r="G536" s="1"/>
      <c r="H536" s="1"/>
      <c r="I536" s="1"/>
      <c r="J536" s="1"/>
      <c r="K536" s="33"/>
      <c r="L536" s="22"/>
      <c r="M536" s="1"/>
      <c r="N536" s="1"/>
      <c r="O536" s="1"/>
      <c r="P536" s="1"/>
      <c r="Q536" s="1"/>
      <c r="R536" s="1"/>
      <c r="S536" s="1"/>
      <c r="BB536" s="9" t="str">
        <f t="shared" si="28"/>
        <v>Yes</v>
      </c>
      <c r="BC536" s="9" t="e">
        <f>IF(EFB!$N536=Table1[[#This Row],[ProgramTitle]],"Yes","No")</f>
        <v>#VALUE!</v>
      </c>
      <c r="BD536" s="9" t="e">
        <f>IF(EFB!$S536=Table1[[#This Row],[SeriesEpisodeTitle]],"Yes","No")</f>
        <v>#VALUE!</v>
      </c>
      <c r="BE536" s="11">
        <f t="shared" si="29"/>
        <v>0</v>
      </c>
      <c r="BF536" s="11">
        <f t="shared" si="30"/>
        <v>0</v>
      </c>
      <c r="BH536" s="21" t="e">
        <f>Table1[[#This Row],[StartTime]]+$BG$2</f>
        <v>#VALUE!</v>
      </c>
    </row>
    <row r="537" spans="3:60" x14ac:dyDescent="0.25">
      <c r="C537" s="35"/>
      <c r="G537" s="1"/>
      <c r="H537" s="1"/>
      <c r="I537" s="1"/>
      <c r="J537" s="1"/>
      <c r="K537" s="33"/>
      <c r="L537" s="22"/>
      <c r="M537" s="1"/>
      <c r="N537" s="1"/>
      <c r="O537" s="1"/>
      <c r="P537" s="1"/>
      <c r="Q537" s="1"/>
      <c r="R537" s="1"/>
      <c r="S537" s="1"/>
      <c r="BB537" s="9" t="str">
        <f t="shared" si="28"/>
        <v>Yes</v>
      </c>
      <c r="BC537" s="9" t="e">
        <f>IF(EFB!$N537=Table1[[#This Row],[ProgramTitle]],"Yes","No")</f>
        <v>#VALUE!</v>
      </c>
      <c r="BD537" s="9" t="e">
        <f>IF(EFB!$S537=Table1[[#This Row],[SeriesEpisodeTitle]],"Yes","No")</f>
        <v>#VALUE!</v>
      </c>
      <c r="BE537" s="11">
        <f t="shared" si="29"/>
        <v>0</v>
      </c>
      <c r="BF537" s="11">
        <f t="shared" si="30"/>
        <v>0</v>
      </c>
      <c r="BH537" s="21" t="e">
        <f>Table1[[#This Row],[StartTime]]+$BG$2</f>
        <v>#VALUE!</v>
      </c>
    </row>
    <row r="538" spans="3:60" x14ac:dyDescent="0.25">
      <c r="C538" s="35"/>
      <c r="G538" s="1"/>
      <c r="H538" s="1"/>
      <c r="I538" s="1"/>
      <c r="J538" s="1"/>
      <c r="K538" s="33"/>
      <c r="L538" s="22"/>
      <c r="M538" s="1"/>
      <c r="N538" s="1"/>
      <c r="O538" s="1"/>
      <c r="P538" s="1"/>
      <c r="Q538" s="1"/>
      <c r="R538" s="1"/>
      <c r="S538" s="1"/>
      <c r="BB538" s="9" t="str">
        <f t="shared" si="28"/>
        <v>Yes</v>
      </c>
      <c r="BC538" s="9" t="e">
        <f>IF(EFB!$N538=Table1[[#This Row],[ProgramTitle]],"Yes","No")</f>
        <v>#VALUE!</v>
      </c>
      <c r="BD538" s="9" t="e">
        <f>IF(EFB!$S538=Table1[[#This Row],[SeriesEpisodeTitle]],"Yes","No")</f>
        <v>#VALUE!</v>
      </c>
      <c r="BE538" s="11">
        <f t="shared" si="29"/>
        <v>0</v>
      </c>
      <c r="BF538" s="11">
        <f t="shared" si="30"/>
        <v>0</v>
      </c>
      <c r="BH538" s="21" t="e">
        <f>Table1[[#This Row],[StartTime]]+$BG$2</f>
        <v>#VALUE!</v>
      </c>
    </row>
    <row r="539" spans="3:60" x14ac:dyDescent="0.25">
      <c r="C539" s="35"/>
      <c r="G539" s="1"/>
      <c r="H539" s="1"/>
      <c r="I539" s="1"/>
      <c r="J539" s="1"/>
      <c r="K539" s="33"/>
      <c r="L539" s="22"/>
      <c r="M539" s="1"/>
      <c r="N539" s="1"/>
      <c r="O539" s="1"/>
      <c r="P539" s="1"/>
      <c r="Q539" s="1"/>
      <c r="R539" s="1"/>
      <c r="S539" s="1"/>
      <c r="BB539" s="9" t="str">
        <f t="shared" si="28"/>
        <v>Yes</v>
      </c>
      <c r="BC539" s="9" t="e">
        <f>IF(EFB!$N539=Table1[[#This Row],[ProgramTitle]],"Yes","No")</f>
        <v>#VALUE!</v>
      </c>
      <c r="BD539" s="9" t="e">
        <f>IF(EFB!$S539=Table1[[#This Row],[SeriesEpisodeTitle]],"Yes","No")</f>
        <v>#VALUE!</v>
      </c>
      <c r="BE539" s="11">
        <f t="shared" si="29"/>
        <v>0</v>
      </c>
      <c r="BF539" s="11">
        <f t="shared" si="30"/>
        <v>0</v>
      </c>
      <c r="BH539" s="21" t="e">
        <f>Table1[[#This Row],[StartTime]]+$BG$2</f>
        <v>#VALUE!</v>
      </c>
    </row>
    <row r="540" spans="3:60" x14ac:dyDescent="0.25">
      <c r="C540" s="35"/>
      <c r="G540" s="1"/>
      <c r="H540" s="1"/>
      <c r="I540" s="1"/>
      <c r="J540" s="1"/>
      <c r="K540" s="33"/>
      <c r="L540" s="22"/>
      <c r="M540" s="1"/>
      <c r="N540" s="1"/>
      <c r="O540" s="1"/>
      <c r="P540" s="1"/>
      <c r="Q540" s="1"/>
      <c r="R540" s="1"/>
      <c r="S540" s="1"/>
      <c r="BB540" s="9" t="str">
        <f t="shared" si="28"/>
        <v>Yes</v>
      </c>
      <c r="BC540" s="9" t="e">
        <f>IF(EFB!$N540=Table1[[#This Row],[ProgramTitle]],"Yes","No")</f>
        <v>#VALUE!</v>
      </c>
      <c r="BD540" s="9" t="e">
        <f>IF(EFB!$S540=Table1[[#This Row],[SeriesEpisodeTitle]],"Yes","No")</f>
        <v>#VALUE!</v>
      </c>
      <c r="BE540" s="11">
        <f t="shared" si="29"/>
        <v>0</v>
      </c>
      <c r="BF540" s="11">
        <f t="shared" si="30"/>
        <v>0</v>
      </c>
      <c r="BH540" s="21" t="e">
        <f>Table1[[#This Row],[StartTime]]+$BG$2</f>
        <v>#VALUE!</v>
      </c>
    </row>
    <row r="541" spans="3:60" x14ac:dyDescent="0.25">
      <c r="C541" s="35"/>
      <c r="G541" s="1"/>
      <c r="H541" s="1"/>
      <c r="I541" s="1"/>
      <c r="J541" s="1"/>
      <c r="K541" s="33"/>
      <c r="L541" s="22"/>
      <c r="M541" s="1"/>
      <c r="N541" s="1"/>
      <c r="O541" s="1"/>
      <c r="P541" s="1"/>
      <c r="Q541" s="1"/>
      <c r="R541" s="1"/>
      <c r="S541" s="1"/>
      <c r="BB541" s="9" t="str">
        <f t="shared" si="28"/>
        <v>Yes</v>
      </c>
      <c r="BC541" s="9" t="e">
        <f>IF(EFB!$N541=Table1[[#This Row],[ProgramTitle]],"Yes","No")</f>
        <v>#VALUE!</v>
      </c>
      <c r="BD541" s="9" t="e">
        <f>IF(EFB!$S541=Table1[[#This Row],[SeriesEpisodeTitle]],"Yes","No")</f>
        <v>#VALUE!</v>
      </c>
      <c r="BE541" s="11">
        <f t="shared" si="29"/>
        <v>0</v>
      </c>
      <c r="BF541" s="11">
        <f t="shared" si="30"/>
        <v>0</v>
      </c>
      <c r="BH541" s="21" t="e">
        <f>Table1[[#This Row],[StartTime]]+$BG$2</f>
        <v>#VALUE!</v>
      </c>
    </row>
    <row r="542" spans="3:60" x14ac:dyDescent="0.25">
      <c r="C542" s="35"/>
      <c r="G542" s="1"/>
      <c r="H542" s="1"/>
      <c r="I542" s="1"/>
      <c r="J542" s="1"/>
      <c r="K542" s="33"/>
      <c r="L542" s="22"/>
      <c r="M542" s="1"/>
      <c r="N542" s="1"/>
      <c r="O542" s="1"/>
      <c r="P542" s="1"/>
      <c r="Q542" s="1"/>
      <c r="R542" s="1"/>
      <c r="S542" s="1"/>
      <c r="BB542" s="9" t="str">
        <f t="shared" si="28"/>
        <v>Yes</v>
      </c>
      <c r="BC542" s="9" t="e">
        <f>IF(EFB!$N542=Table1[[#This Row],[ProgramTitle]],"Yes","No")</f>
        <v>#VALUE!</v>
      </c>
      <c r="BD542" s="9" t="e">
        <f>IF(EFB!$S542=Table1[[#This Row],[SeriesEpisodeTitle]],"Yes","No")</f>
        <v>#VALUE!</v>
      </c>
      <c r="BE542" s="11">
        <f t="shared" si="29"/>
        <v>0</v>
      </c>
      <c r="BF542" s="11">
        <f t="shared" si="30"/>
        <v>0</v>
      </c>
      <c r="BH542" s="21" t="e">
        <f>Table1[[#This Row],[StartTime]]+$BG$2</f>
        <v>#VALUE!</v>
      </c>
    </row>
    <row r="543" spans="3:60" x14ac:dyDescent="0.25">
      <c r="C543" s="35"/>
      <c r="G543" s="1"/>
      <c r="H543" s="1"/>
      <c r="I543" s="1"/>
      <c r="J543" s="1"/>
      <c r="K543" s="33"/>
      <c r="L543" s="22"/>
      <c r="M543" s="1"/>
      <c r="N543" s="1"/>
      <c r="O543" s="1"/>
      <c r="P543" s="1"/>
      <c r="Q543" s="1"/>
      <c r="R543" s="1"/>
      <c r="S543" s="1"/>
      <c r="BB543" s="9" t="str">
        <f t="shared" si="28"/>
        <v>Yes</v>
      </c>
      <c r="BC543" s="9" t="e">
        <f>IF(EFB!$N543=Table1[[#This Row],[ProgramTitle]],"Yes","No")</f>
        <v>#VALUE!</v>
      </c>
      <c r="BD543" s="9" t="e">
        <f>IF(EFB!$S543=Table1[[#This Row],[SeriesEpisodeTitle]],"Yes","No")</f>
        <v>#VALUE!</v>
      </c>
      <c r="BE543" s="11">
        <f t="shared" si="29"/>
        <v>0</v>
      </c>
      <c r="BF543" s="11">
        <f t="shared" si="30"/>
        <v>0</v>
      </c>
      <c r="BH543" s="21" t="e">
        <f>Table1[[#This Row],[StartTime]]+$BG$2</f>
        <v>#VALUE!</v>
      </c>
    </row>
    <row r="544" spans="3:60" x14ac:dyDescent="0.25">
      <c r="C544" s="35"/>
      <c r="G544" s="1"/>
      <c r="H544" s="1"/>
      <c r="I544" s="1"/>
      <c r="J544" s="1"/>
      <c r="K544" s="33"/>
      <c r="L544" s="22"/>
      <c r="M544" s="1"/>
      <c r="N544" s="1"/>
      <c r="O544" s="1"/>
      <c r="P544" s="1"/>
      <c r="Q544" s="1"/>
      <c r="R544" s="1"/>
      <c r="S544" s="1"/>
      <c r="BB544" s="9" t="str">
        <f t="shared" si="28"/>
        <v>Yes</v>
      </c>
      <c r="BC544" s="9" t="e">
        <f>IF(EFB!$N544=Table1[[#This Row],[ProgramTitle]],"Yes","No")</f>
        <v>#VALUE!</v>
      </c>
      <c r="BD544" s="9" t="e">
        <f>IF(EFB!$S544=Table1[[#This Row],[SeriesEpisodeTitle]],"Yes","No")</f>
        <v>#VALUE!</v>
      </c>
      <c r="BE544" s="11">
        <f t="shared" si="29"/>
        <v>0</v>
      </c>
      <c r="BF544" s="11">
        <f t="shared" si="30"/>
        <v>0</v>
      </c>
      <c r="BH544" s="21" t="e">
        <f>Table1[[#This Row],[StartTime]]+$BG$2</f>
        <v>#VALUE!</v>
      </c>
    </row>
    <row r="545" spans="3:60" x14ac:dyDescent="0.25">
      <c r="C545" s="35"/>
      <c r="G545" s="1"/>
      <c r="H545" s="1"/>
      <c r="I545" s="1"/>
      <c r="J545" s="1"/>
      <c r="K545" s="33"/>
      <c r="L545" s="22"/>
      <c r="M545" s="1"/>
      <c r="N545" s="1"/>
      <c r="O545" s="1"/>
      <c r="P545" s="1"/>
      <c r="Q545" s="1"/>
      <c r="R545" s="1"/>
      <c r="S545" s="1"/>
      <c r="BB545" s="9" t="str">
        <f t="shared" si="28"/>
        <v>Yes</v>
      </c>
      <c r="BC545" s="9" t="e">
        <f>IF(EFB!$N545=Table1[[#This Row],[ProgramTitle]],"Yes","No")</f>
        <v>#VALUE!</v>
      </c>
      <c r="BD545" s="9" t="e">
        <f>IF(EFB!$S545=Table1[[#This Row],[SeriesEpisodeTitle]],"Yes","No")</f>
        <v>#VALUE!</v>
      </c>
      <c r="BE545" s="11">
        <f t="shared" si="29"/>
        <v>0</v>
      </c>
      <c r="BF545" s="11">
        <f t="shared" si="30"/>
        <v>0</v>
      </c>
      <c r="BH545" s="21" t="e">
        <f>Table1[[#This Row],[StartTime]]+$BG$2</f>
        <v>#VALUE!</v>
      </c>
    </row>
    <row r="546" spans="3:60" x14ac:dyDescent="0.25">
      <c r="C546" s="35"/>
      <c r="G546" s="1"/>
      <c r="H546" s="1"/>
      <c r="I546" s="1"/>
      <c r="J546" s="1"/>
      <c r="K546" s="33"/>
      <c r="L546" s="22"/>
      <c r="M546" s="1"/>
      <c r="N546" s="1"/>
      <c r="O546" s="1"/>
      <c r="P546" s="1"/>
      <c r="Q546" s="1"/>
      <c r="R546" s="1"/>
      <c r="S546" s="1"/>
      <c r="BB546" s="9" t="str">
        <f t="shared" si="28"/>
        <v>Yes</v>
      </c>
      <c r="BC546" s="9" t="e">
        <f>IF(EFB!$N546=Table1[[#This Row],[ProgramTitle]],"Yes","No")</f>
        <v>#VALUE!</v>
      </c>
      <c r="BD546" s="9" t="e">
        <f>IF(EFB!$S546=Table1[[#This Row],[SeriesEpisodeTitle]],"Yes","No")</f>
        <v>#VALUE!</v>
      </c>
      <c r="BE546" s="11">
        <f t="shared" si="29"/>
        <v>0</v>
      </c>
      <c r="BF546" s="11">
        <f t="shared" si="30"/>
        <v>0</v>
      </c>
      <c r="BH546" s="21" t="e">
        <f>Table1[[#This Row],[StartTime]]+$BG$2</f>
        <v>#VALUE!</v>
      </c>
    </row>
    <row r="547" spans="3:60" x14ac:dyDescent="0.25">
      <c r="C547" s="35"/>
      <c r="G547" s="1"/>
      <c r="H547" s="1"/>
      <c r="I547" s="1"/>
      <c r="J547" s="1"/>
      <c r="K547" s="33"/>
      <c r="L547" s="22"/>
      <c r="M547" s="1"/>
      <c r="N547" s="1"/>
      <c r="O547" s="1"/>
      <c r="P547" s="1"/>
      <c r="Q547" s="1"/>
      <c r="R547" s="1"/>
      <c r="S547" s="1"/>
      <c r="BB547" s="9" t="str">
        <f t="shared" si="28"/>
        <v>Yes</v>
      </c>
      <c r="BC547" s="9" t="e">
        <f>IF(EFB!$N547=Table1[[#This Row],[ProgramTitle]],"Yes","No")</f>
        <v>#VALUE!</v>
      </c>
      <c r="BD547" s="9" t="e">
        <f>IF(EFB!$S547=Table1[[#This Row],[SeriesEpisodeTitle]],"Yes","No")</f>
        <v>#VALUE!</v>
      </c>
      <c r="BE547" s="11">
        <f t="shared" si="29"/>
        <v>0</v>
      </c>
      <c r="BF547" s="11">
        <f t="shared" si="30"/>
        <v>0</v>
      </c>
      <c r="BH547" s="21" t="e">
        <f>Table1[[#This Row],[StartTime]]+$BG$2</f>
        <v>#VALUE!</v>
      </c>
    </row>
    <row r="548" spans="3:60" x14ac:dyDescent="0.25">
      <c r="C548" s="35"/>
      <c r="G548" s="1"/>
      <c r="H548" s="1"/>
      <c r="I548" s="1"/>
      <c r="J548" s="1"/>
      <c r="K548" s="33"/>
      <c r="L548" s="22"/>
      <c r="M548" s="1"/>
      <c r="N548" s="1"/>
      <c r="O548" s="1"/>
      <c r="P548" s="1"/>
      <c r="Q548" s="1"/>
      <c r="R548" s="1"/>
      <c r="S548" s="1"/>
      <c r="BB548" s="9" t="str">
        <f t="shared" si="28"/>
        <v>Yes</v>
      </c>
      <c r="BC548" s="9" t="e">
        <f>IF(EFB!$N548=Table1[[#This Row],[ProgramTitle]],"Yes","No")</f>
        <v>#VALUE!</v>
      </c>
      <c r="BD548" s="9" t="e">
        <f>IF(EFB!$S548=Table1[[#This Row],[SeriesEpisodeTitle]],"Yes","No")</f>
        <v>#VALUE!</v>
      </c>
      <c r="BE548" s="11">
        <f t="shared" si="29"/>
        <v>0</v>
      </c>
      <c r="BF548" s="11">
        <f t="shared" si="30"/>
        <v>0</v>
      </c>
      <c r="BH548" s="21" t="e">
        <f>Table1[[#This Row],[StartTime]]+$BG$2</f>
        <v>#VALUE!</v>
      </c>
    </row>
    <row r="549" spans="3:60" x14ac:dyDescent="0.25">
      <c r="C549" s="35"/>
      <c r="G549" s="1"/>
      <c r="H549" s="1"/>
      <c r="I549" s="1"/>
      <c r="J549" s="1"/>
      <c r="K549" s="33"/>
      <c r="L549" s="22"/>
      <c r="M549" s="1"/>
      <c r="N549" s="1"/>
      <c r="O549" s="1"/>
      <c r="P549" s="1"/>
      <c r="Q549" s="1"/>
      <c r="R549" s="1"/>
      <c r="S549" s="1"/>
      <c r="BB549" s="9" t="str">
        <f t="shared" si="28"/>
        <v>Yes</v>
      </c>
      <c r="BC549" s="9" t="e">
        <f>IF(EFB!$N549=Table1[[#This Row],[ProgramTitle]],"Yes","No")</f>
        <v>#VALUE!</v>
      </c>
      <c r="BD549" s="9" t="e">
        <f>IF(EFB!$S549=Table1[[#This Row],[SeriesEpisodeTitle]],"Yes","No")</f>
        <v>#VALUE!</v>
      </c>
      <c r="BE549" s="11">
        <f t="shared" si="29"/>
        <v>0</v>
      </c>
      <c r="BF549" s="11">
        <f t="shared" si="30"/>
        <v>0</v>
      </c>
      <c r="BH549" s="21" t="e">
        <f>Table1[[#This Row],[StartTime]]+$BG$2</f>
        <v>#VALUE!</v>
      </c>
    </row>
    <row r="550" spans="3:60" x14ac:dyDescent="0.25">
      <c r="C550" s="35"/>
      <c r="G550" s="1"/>
      <c r="H550" s="1"/>
      <c r="I550" s="1"/>
      <c r="J550" s="1"/>
      <c r="K550" s="33"/>
      <c r="L550" s="22"/>
      <c r="M550" s="1"/>
      <c r="N550" s="1"/>
      <c r="O550" s="1"/>
      <c r="P550" s="1"/>
      <c r="Q550" s="1"/>
      <c r="R550" s="1"/>
      <c r="S550" s="1"/>
      <c r="BB550" s="9" t="str">
        <f t="shared" si="28"/>
        <v>Yes</v>
      </c>
      <c r="BC550" s="9" t="e">
        <f>IF(EFB!$N550=Table1[[#This Row],[ProgramTitle]],"Yes","No")</f>
        <v>#VALUE!</v>
      </c>
      <c r="BD550" s="9" t="e">
        <f>IF(EFB!$S550=Table1[[#This Row],[SeriesEpisodeTitle]],"Yes","No")</f>
        <v>#VALUE!</v>
      </c>
      <c r="BE550" s="11">
        <f t="shared" si="29"/>
        <v>0</v>
      </c>
      <c r="BF550" s="11">
        <f t="shared" si="30"/>
        <v>0</v>
      </c>
      <c r="BH550" s="21" t="e">
        <f>Table1[[#This Row],[StartTime]]+$BG$2</f>
        <v>#VALUE!</v>
      </c>
    </row>
    <row r="551" spans="3:60" x14ac:dyDescent="0.25">
      <c r="C551" s="35"/>
      <c r="G551" s="1"/>
      <c r="H551" s="1"/>
      <c r="I551" s="1"/>
      <c r="J551" s="1"/>
      <c r="K551" s="33"/>
      <c r="L551" s="22"/>
      <c r="M551" s="1"/>
      <c r="N551" s="1"/>
      <c r="O551" s="1"/>
      <c r="P551" s="1"/>
      <c r="Q551" s="1"/>
      <c r="R551" s="1"/>
      <c r="S551" s="1"/>
      <c r="BB551" s="9" t="str">
        <f t="shared" si="28"/>
        <v>Yes</v>
      </c>
      <c r="BC551" s="9" t="e">
        <f>IF(EFB!$N551=Table1[[#This Row],[ProgramTitle]],"Yes","No")</f>
        <v>#VALUE!</v>
      </c>
      <c r="BD551" s="9" t="e">
        <f>IF(EFB!$S551=Table1[[#This Row],[SeriesEpisodeTitle]],"Yes","No")</f>
        <v>#VALUE!</v>
      </c>
      <c r="BE551" s="11">
        <f t="shared" si="29"/>
        <v>0</v>
      </c>
      <c r="BF551" s="11">
        <f t="shared" si="30"/>
        <v>0</v>
      </c>
      <c r="BH551" s="21" t="e">
        <f>Table1[[#This Row],[StartTime]]+$BG$2</f>
        <v>#VALUE!</v>
      </c>
    </row>
    <row r="552" spans="3:60" x14ac:dyDescent="0.25">
      <c r="C552" s="35"/>
      <c r="G552" s="1"/>
      <c r="H552" s="1"/>
      <c r="I552" s="1"/>
      <c r="J552" s="1"/>
      <c r="K552" s="33"/>
      <c r="L552" s="22"/>
      <c r="M552" s="1"/>
      <c r="N552" s="1"/>
      <c r="O552" s="1"/>
      <c r="P552" s="1"/>
      <c r="Q552" s="1"/>
      <c r="R552" s="1"/>
      <c r="S552" s="1"/>
      <c r="BB552" s="9" t="str">
        <f t="shared" si="28"/>
        <v>Yes</v>
      </c>
      <c r="BC552" s="9" t="e">
        <f>IF(EFB!$N552=Table1[[#This Row],[ProgramTitle]],"Yes","No")</f>
        <v>#VALUE!</v>
      </c>
      <c r="BD552" s="9" t="e">
        <f>IF(EFB!$S552=Table1[[#This Row],[SeriesEpisodeTitle]],"Yes","No")</f>
        <v>#VALUE!</v>
      </c>
      <c r="BE552" s="11">
        <f t="shared" si="29"/>
        <v>0</v>
      </c>
      <c r="BF552" s="11">
        <f t="shared" si="30"/>
        <v>0</v>
      </c>
      <c r="BH552" s="21" t="e">
        <f>Table1[[#This Row],[StartTime]]+$BG$2</f>
        <v>#VALUE!</v>
      </c>
    </row>
    <row r="553" spans="3:60" x14ac:dyDescent="0.25">
      <c r="C553" s="35"/>
      <c r="G553" s="1"/>
      <c r="H553" s="1"/>
      <c r="I553" s="1"/>
      <c r="J553" s="1"/>
      <c r="K553" s="33"/>
      <c r="L553" s="22"/>
      <c r="M553" s="1"/>
      <c r="N553" s="1"/>
      <c r="O553" s="1"/>
      <c r="P553" s="1"/>
      <c r="Q553" s="1"/>
      <c r="R553" s="1"/>
      <c r="S553" s="1"/>
      <c r="BB553" s="9" t="str">
        <f t="shared" si="28"/>
        <v>Yes</v>
      </c>
      <c r="BC553" s="9" t="e">
        <f>IF(EFB!$N553=Table1[[#This Row],[ProgramTitle]],"Yes","No")</f>
        <v>#VALUE!</v>
      </c>
      <c r="BD553" s="9" t="e">
        <f>IF(EFB!$S553=Table1[[#This Row],[SeriesEpisodeTitle]],"Yes","No")</f>
        <v>#VALUE!</v>
      </c>
      <c r="BE553" s="11">
        <f t="shared" si="29"/>
        <v>0</v>
      </c>
      <c r="BF553" s="11">
        <f t="shared" si="30"/>
        <v>0</v>
      </c>
      <c r="BH553" s="21" t="e">
        <f>Table1[[#This Row],[StartTime]]+$BG$2</f>
        <v>#VALUE!</v>
      </c>
    </row>
    <row r="554" spans="3:60" x14ac:dyDescent="0.25">
      <c r="C554" s="35"/>
      <c r="G554" s="1"/>
      <c r="H554" s="1"/>
      <c r="I554" s="1"/>
      <c r="J554" s="1"/>
      <c r="K554" s="33"/>
      <c r="L554" s="22"/>
      <c r="M554" s="1"/>
      <c r="N554" s="1"/>
      <c r="O554" s="1"/>
      <c r="P554" s="1"/>
      <c r="Q554" s="1"/>
      <c r="R554" s="1"/>
      <c r="S554" s="1"/>
      <c r="BB554" s="9" t="str">
        <f t="shared" si="28"/>
        <v>Yes</v>
      </c>
      <c r="BC554" s="9" t="e">
        <f>IF(EFB!$N554=Table1[[#This Row],[ProgramTitle]],"Yes","No")</f>
        <v>#VALUE!</v>
      </c>
      <c r="BD554" s="9" t="e">
        <f>IF(EFB!$S554=Table1[[#This Row],[SeriesEpisodeTitle]],"Yes","No")</f>
        <v>#VALUE!</v>
      </c>
      <c r="BE554" s="11">
        <f t="shared" si="29"/>
        <v>0</v>
      </c>
      <c r="BF554" s="11">
        <f t="shared" si="30"/>
        <v>0</v>
      </c>
      <c r="BH554" s="21" t="e">
        <f>Table1[[#This Row],[StartTime]]+$BG$2</f>
        <v>#VALUE!</v>
      </c>
    </row>
    <row r="555" spans="3:60" x14ac:dyDescent="0.25">
      <c r="C555" s="35"/>
      <c r="G555" s="1"/>
      <c r="H555" s="1"/>
      <c r="I555" s="1"/>
      <c r="J555" s="1"/>
      <c r="K555" s="33"/>
      <c r="L555" s="22"/>
      <c r="M555" s="1"/>
      <c r="N555" s="1"/>
      <c r="O555" s="1"/>
      <c r="P555" s="1"/>
      <c r="Q555" s="1"/>
      <c r="R555" s="1"/>
      <c r="S555" s="1"/>
      <c r="BB555" s="9" t="str">
        <f t="shared" si="28"/>
        <v>Yes</v>
      </c>
      <c r="BC555" s="9" t="e">
        <f>IF(EFB!$N555=Table1[[#This Row],[ProgramTitle]],"Yes","No")</f>
        <v>#VALUE!</v>
      </c>
      <c r="BD555" s="9" t="e">
        <f>IF(EFB!$S555=Table1[[#This Row],[SeriesEpisodeTitle]],"Yes","No")</f>
        <v>#VALUE!</v>
      </c>
      <c r="BE555" s="11">
        <f t="shared" si="29"/>
        <v>0</v>
      </c>
      <c r="BF555" s="11">
        <f t="shared" si="30"/>
        <v>0</v>
      </c>
      <c r="BH555" s="21" t="e">
        <f>Table1[[#This Row],[StartTime]]+$BG$2</f>
        <v>#VALUE!</v>
      </c>
    </row>
    <row r="556" spans="3:60" x14ac:dyDescent="0.25">
      <c r="C556" s="35"/>
      <c r="G556" s="1"/>
      <c r="H556" s="1"/>
      <c r="I556" s="1"/>
      <c r="J556" s="1"/>
      <c r="K556" s="33"/>
      <c r="L556" s="22"/>
      <c r="M556" s="1"/>
      <c r="N556" s="1"/>
      <c r="O556" s="1"/>
      <c r="P556" s="1"/>
      <c r="Q556" s="1"/>
      <c r="R556" s="1"/>
      <c r="S556" s="1"/>
      <c r="BB556" s="9" t="str">
        <f t="shared" si="28"/>
        <v>Yes</v>
      </c>
      <c r="BC556" s="9" t="e">
        <f>IF(EFB!$N556=Table1[[#This Row],[ProgramTitle]],"Yes","No")</f>
        <v>#VALUE!</v>
      </c>
      <c r="BD556" s="9" t="e">
        <f>IF(EFB!$S556=Table1[[#This Row],[SeriesEpisodeTitle]],"Yes","No")</f>
        <v>#VALUE!</v>
      </c>
      <c r="BE556" s="11">
        <f t="shared" si="29"/>
        <v>0</v>
      </c>
      <c r="BF556" s="11">
        <f t="shared" si="30"/>
        <v>0</v>
      </c>
      <c r="BH556" s="21" t="e">
        <f>Table1[[#This Row],[StartTime]]+$BG$2</f>
        <v>#VALUE!</v>
      </c>
    </row>
    <row r="557" spans="3:60" x14ac:dyDescent="0.25">
      <c r="C557" s="35"/>
      <c r="G557" s="1"/>
      <c r="H557" s="1"/>
      <c r="I557" s="1"/>
      <c r="J557" s="1"/>
      <c r="K557" s="33"/>
      <c r="L557" s="22"/>
      <c r="M557" s="1"/>
      <c r="N557" s="1"/>
      <c r="O557" s="1"/>
      <c r="P557" s="1"/>
      <c r="Q557" s="1"/>
      <c r="R557" s="1"/>
      <c r="S557" s="1"/>
      <c r="BB557" s="9" t="str">
        <f t="shared" si="28"/>
        <v>Yes</v>
      </c>
      <c r="BC557" s="9" t="e">
        <f>IF(EFB!$N557=Table1[[#This Row],[ProgramTitle]],"Yes","No")</f>
        <v>#VALUE!</v>
      </c>
      <c r="BD557" s="9" t="e">
        <f>IF(EFB!$S557=Table1[[#This Row],[SeriesEpisodeTitle]],"Yes","No")</f>
        <v>#VALUE!</v>
      </c>
      <c r="BE557" s="11">
        <f t="shared" si="29"/>
        <v>0</v>
      </c>
      <c r="BF557" s="11">
        <f t="shared" si="30"/>
        <v>0</v>
      </c>
      <c r="BH557" s="21" t="e">
        <f>Table1[[#This Row],[StartTime]]+$BG$2</f>
        <v>#VALUE!</v>
      </c>
    </row>
    <row r="558" spans="3:60" x14ac:dyDescent="0.25">
      <c r="C558" s="35"/>
      <c r="G558" s="1"/>
      <c r="H558" s="1"/>
      <c r="I558" s="1"/>
      <c r="J558" s="1"/>
      <c r="K558" s="33"/>
      <c r="L558" s="22"/>
      <c r="M558" s="1"/>
      <c r="N558" s="1"/>
      <c r="O558" s="1"/>
      <c r="P558" s="1"/>
      <c r="Q558" s="1"/>
      <c r="R558" s="1"/>
      <c r="S558" s="1"/>
      <c r="BB558" s="9" t="str">
        <f t="shared" si="28"/>
        <v>Yes</v>
      </c>
      <c r="BC558" s="9" t="e">
        <f>IF(EFB!$N558=Table1[[#This Row],[ProgramTitle]],"Yes","No")</f>
        <v>#VALUE!</v>
      </c>
      <c r="BD558" s="9" t="e">
        <f>IF(EFB!$S558=Table1[[#This Row],[SeriesEpisodeTitle]],"Yes","No")</f>
        <v>#VALUE!</v>
      </c>
      <c r="BE558" s="11">
        <f t="shared" si="29"/>
        <v>0</v>
      </c>
      <c r="BF558" s="11">
        <f t="shared" si="30"/>
        <v>0</v>
      </c>
      <c r="BH558" s="21" t="e">
        <f>Table1[[#This Row],[StartTime]]+$BG$2</f>
        <v>#VALUE!</v>
      </c>
    </row>
    <row r="559" spans="3:60" x14ac:dyDescent="0.25">
      <c r="C559" s="35"/>
      <c r="G559" s="1"/>
      <c r="H559" s="1"/>
      <c r="I559" s="1"/>
      <c r="J559" s="1"/>
      <c r="K559" s="33"/>
      <c r="L559" s="22"/>
      <c r="M559" s="1"/>
      <c r="N559" s="1"/>
      <c r="O559" s="1"/>
      <c r="P559" s="1"/>
      <c r="Q559" s="1"/>
      <c r="R559" s="1"/>
      <c r="S559" s="1"/>
      <c r="BB559" s="9" t="str">
        <f t="shared" ref="BB559:BB622" si="31">IF(BE559=BF559,"Yes","No")</f>
        <v>Yes</v>
      </c>
      <c r="BC559" s="9" t="e">
        <f>IF(EFB!$N559=Table1[[#This Row],[ProgramTitle]],"Yes","No")</f>
        <v>#VALUE!</v>
      </c>
      <c r="BD559" s="9" t="e">
        <f>IF(EFB!$S559=Table1[[#This Row],[SeriesEpisodeTitle]],"Yes","No")</f>
        <v>#VALUE!</v>
      </c>
      <c r="BE559" s="11">
        <f t="shared" ref="BE559:BE622" si="32">TIME(HOUR(C559),MINUTE(C559),SECOND(0))</f>
        <v>0</v>
      </c>
      <c r="BF559" s="11">
        <f t="shared" ref="BF559:BF622" si="33">TIME(HOUR(L559),MINUTE(L559),SECOND(0))</f>
        <v>0</v>
      </c>
      <c r="BH559" s="21" t="e">
        <f>Table1[[#This Row],[StartTime]]+$BG$2</f>
        <v>#VALUE!</v>
      </c>
    </row>
    <row r="560" spans="3:60" x14ac:dyDescent="0.25">
      <c r="C560" s="35"/>
      <c r="G560" s="1"/>
      <c r="H560" s="1"/>
      <c r="I560" s="1"/>
      <c r="J560" s="1"/>
      <c r="K560" s="33"/>
      <c r="L560" s="22"/>
      <c r="M560" s="1"/>
      <c r="N560" s="1"/>
      <c r="O560" s="1"/>
      <c r="P560" s="1"/>
      <c r="Q560" s="1"/>
      <c r="R560" s="1"/>
      <c r="S560" s="1"/>
      <c r="BB560" s="9" t="str">
        <f t="shared" si="31"/>
        <v>Yes</v>
      </c>
      <c r="BC560" s="9" t="e">
        <f>IF(EFB!$N560=Table1[[#This Row],[ProgramTitle]],"Yes","No")</f>
        <v>#VALUE!</v>
      </c>
      <c r="BD560" s="9" t="e">
        <f>IF(EFB!$S560=Table1[[#This Row],[SeriesEpisodeTitle]],"Yes","No")</f>
        <v>#VALUE!</v>
      </c>
      <c r="BE560" s="11">
        <f t="shared" si="32"/>
        <v>0</v>
      </c>
      <c r="BF560" s="11">
        <f t="shared" si="33"/>
        <v>0</v>
      </c>
      <c r="BH560" s="21" t="e">
        <f>Table1[[#This Row],[StartTime]]+$BG$2</f>
        <v>#VALUE!</v>
      </c>
    </row>
    <row r="561" spans="3:60" x14ac:dyDescent="0.25">
      <c r="C561" s="35"/>
      <c r="G561" s="1"/>
      <c r="H561" s="1"/>
      <c r="I561" s="1"/>
      <c r="J561" s="1"/>
      <c r="K561" s="33"/>
      <c r="L561" s="22"/>
      <c r="M561" s="1"/>
      <c r="N561" s="1"/>
      <c r="O561" s="1"/>
      <c r="P561" s="1"/>
      <c r="Q561" s="1"/>
      <c r="R561" s="1"/>
      <c r="S561" s="1"/>
      <c r="BB561" s="9" t="str">
        <f t="shared" si="31"/>
        <v>Yes</v>
      </c>
      <c r="BC561" s="9" t="e">
        <f>IF(EFB!$N561=Table1[[#This Row],[ProgramTitle]],"Yes","No")</f>
        <v>#VALUE!</v>
      </c>
      <c r="BD561" s="9" t="e">
        <f>IF(EFB!$S561=Table1[[#This Row],[SeriesEpisodeTitle]],"Yes","No")</f>
        <v>#VALUE!</v>
      </c>
      <c r="BE561" s="11">
        <f t="shared" si="32"/>
        <v>0</v>
      </c>
      <c r="BF561" s="11">
        <f t="shared" si="33"/>
        <v>0</v>
      </c>
      <c r="BH561" s="21" t="e">
        <f>Table1[[#This Row],[StartTime]]+$BG$2</f>
        <v>#VALUE!</v>
      </c>
    </row>
    <row r="562" spans="3:60" x14ac:dyDescent="0.25">
      <c r="C562" s="35"/>
      <c r="G562" s="1"/>
      <c r="H562" s="1"/>
      <c r="I562" s="1"/>
      <c r="J562" s="1"/>
      <c r="K562" s="33"/>
      <c r="L562" s="22"/>
      <c r="M562" s="1"/>
      <c r="N562" s="1"/>
      <c r="O562" s="1"/>
      <c r="P562" s="1"/>
      <c r="Q562" s="1"/>
      <c r="R562" s="1"/>
      <c r="S562" s="1"/>
      <c r="BB562" s="9" t="str">
        <f t="shared" si="31"/>
        <v>Yes</v>
      </c>
      <c r="BC562" s="9" t="e">
        <f>IF(EFB!$N562=Table1[[#This Row],[ProgramTitle]],"Yes","No")</f>
        <v>#VALUE!</v>
      </c>
      <c r="BD562" s="9" t="e">
        <f>IF(EFB!$S562=Table1[[#This Row],[SeriesEpisodeTitle]],"Yes","No")</f>
        <v>#VALUE!</v>
      </c>
      <c r="BE562" s="11">
        <f t="shared" si="32"/>
        <v>0</v>
      </c>
      <c r="BF562" s="11">
        <f t="shared" si="33"/>
        <v>0</v>
      </c>
      <c r="BH562" s="21" t="e">
        <f>Table1[[#This Row],[StartTime]]+$BG$2</f>
        <v>#VALUE!</v>
      </c>
    </row>
    <row r="563" spans="3:60" x14ac:dyDescent="0.25">
      <c r="C563" s="35"/>
      <c r="G563" s="1"/>
      <c r="H563" s="1"/>
      <c r="I563" s="1"/>
      <c r="J563" s="1"/>
      <c r="K563" s="33"/>
      <c r="L563" s="22"/>
      <c r="M563" s="1"/>
      <c r="N563" s="1"/>
      <c r="O563" s="1"/>
      <c r="P563" s="1"/>
      <c r="Q563" s="1"/>
      <c r="R563" s="1"/>
      <c r="S563" s="1"/>
      <c r="BB563" s="9" t="str">
        <f t="shared" si="31"/>
        <v>Yes</v>
      </c>
      <c r="BC563" s="9" t="e">
        <f>IF(EFB!$N563=Table1[[#This Row],[ProgramTitle]],"Yes","No")</f>
        <v>#VALUE!</v>
      </c>
      <c r="BD563" s="9" t="e">
        <f>IF(EFB!$S563=Table1[[#This Row],[SeriesEpisodeTitle]],"Yes","No")</f>
        <v>#VALUE!</v>
      </c>
      <c r="BE563" s="11">
        <f t="shared" si="32"/>
        <v>0</v>
      </c>
      <c r="BF563" s="11">
        <f t="shared" si="33"/>
        <v>0</v>
      </c>
      <c r="BH563" s="21" t="e">
        <f>Table1[[#This Row],[StartTime]]+$BG$2</f>
        <v>#VALUE!</v>
      </c>
    </row>
    <row r="564" spans="3:60" x14ac:dyDescent="0.25">
      <c r="C564" s="35"/>
      <c r="G564" s="1"/>
      <c r="H564" s="1"/>
      <c r="I564" s="1"/>
      <c r="J564" s="1"/>
      <c r="K564" s="33"/>
      <c r="L564" s="22"/>
      <c r="M564" s="1"/>
      <c r="N564" s="1"/>
      <c r="O564" s="1"/>
      <c r="P564" s="1"/>
      <c r="Q564" s="1"/>
      <c r="R564" s="1"/>
      <c r="S564" s="1"/>
      <c r="BB564" s="9" t="str">
        <f t="shared" si="31"/>
        <v>Yes</v>
      </c>
      <c r="BC564" s="9" t="e">
        <f>IF(EFB!$N564=Table1[[#This Row],[ProgramTitle]],"Yes","No")</f>
        <v>#VALUE!</v>
      </c>
      <c r="BD564" s="9" t="e">
        <f>IF(EFB!$S564=Table1[[#This Row],[SeriesEpisodeTitle]],"Yes","No")</f>
        <v>#VALUE!</v>
      </c>
      <c r="BE564" s="11">
        <f t="shared" si="32"/>
        <v>0</v>
      </c>
      <c r="BF564" s="11">
        <f t="shared" si="33"/>
        <v>0</v>
      </c>
      <c r="BH564" s="21" t="e">
        <f>Table1[[#This Row],[StartTime]]+$BG$2</f>
        <v>#VALUE!</v>
      </c>
    </row>
    <row r="565" spans="3:60" x14ac:dyDescent="0.25">
      <c r="C565" s="35"/>
      <c r="G565" s="1"/>
      <c r="H565" s="1"/>
      <c r="I565" s="1"/>
      <c r="J565" s="1"/>
      <c r="K565" s="33"/>
      <c r="L565" s="22"/>
      <c r="M565" s="1"/>
      <c r="N565" s="1"/>
      <c r="O565" s="1"/>
      <c r="P565" s="1"/>
      <c r="Q565" s="1"/>
      <c r="R565" s="1"/>
      <c r="S565" s="1"/>
      <c r="BB565" s="9" t="str">
        <f t="shared" si="31"/>
        <v>Yes</v>
      </c>
      <c r="BC565" s="9" t="e">
        <f>IF(EFB!$N565=Table1[[#This Row],[ProgramTitle]],"Yes","No")</f>
        <v>#VALUE!</v>
      </c>
      <c r="BD565" s="9" t="e">
        <f>IF(EFB!$S565=Table1[[#This Row],[SeriesEpisodeTitle]],"Yes","No")</f>
        <v>#VALUE!</v>
      </c>
      <c r="BE565" s="11">
        <f t="shared" si="32"/>
        <v>0</v>
      </c>
      <c r="BF565" s="11">
        <f t="shared" si="33"/>
        <v>0</v>
      </c>
      <c r="BH565" s="21" t="e">
        <f>Table1[[#This Row],[StartTime]]+$BG$2</f>
        <v>#VALUE!</v>
      </c>
    </row>
    <row r="566" spans="3:60" x14ac:dyDescent="0.25">
      <c r="C566" s="35"/>
      <c r="G566" s="1"/>
      <c r="H566" s="1"/>
      <c r="I566" s="1"/>
      <c r="J566" s="1"/>
      <c r="K566" s="33"/>
      <c r="L566" s="22"/>
      <c r="M566" s="1"/>
      <c r="N566" s="1"/>
      <c r="O566" s="1"/>
      <c r="P566" s="1"/>
      <c r="Q566" s="1"/>
      <c r="R566" s="1"/>
      <c r="S566" s="1"/>
      <c r="BB566" s="9" t="str">
        <f t="shared" si="31"/>
        <v>Yes</v>
      </c>
      <c r="BC566" s="9" t="e">
        <f>IF(EFB!$N566=Table1[[#This Row],[ProgramTitle]],"Yes","No")</f>
        <v>#VALUE!</v>
      </c>
      <c r="BD566" s="9" t="e">
        <f>IF(EFB!$S566=Table1[[#This Row],[SeriesEpisodeTitle]],"Yes","No")</f>
        <v>#VALUE!</v>
      </c>
      <c r="BE566" s="11">
        <f t="shared" si="32"/>
        <v>0</v>
      </c>
      <c r="BF566" s="11">
        <f t="shared" si="33"/>
        <v>0</v>
      </c>
      <c r="BH566" s="21" t="e">
        <f>Table1[[#This Row],[StartTime]]+$BG$2</f>
        <v>#VALUE!</v>
      </c>
    </row>
    <row r="567" spans="3:60" x14ac:dyDescent="0.25">
      <c r="C567" s="35"/>
      <c r="G567" s="1"/>
      <c r="H567" s="1"/>
      <c r="I567" s="1"/>
      <c r="J567" s="1"/>
      <c r="K567" s="33"/>
      <c r="L567" s="22"/>
      <c r="M567" s="1"/>
      <c r="N567" s="1"/>
      <c r="O567" s="1"/>
      <c r="P567" s="1"/>
      <c r="Q567" s="1"/>
      <c r="R567" s="1"/>
      <c r="S567" s="1"/>
      <c r="BB567" s="9" t="str">
        <f t="shared" si="31"/>
        <v>Yes</v>
      </c>
      <c r="BC567" s="9" t="e">
        <f>IF(EFB!$N567=Table1[[#This Row],[ProgramTitle]],"Yes","No")</f>
        <v>#VALUE!</v>
      </c>
      <c r="BD567" s="9" t="e">
        <f>IF(EFB!$S567=Table1[[#This Row],[SeriesEpisodeTitle]],"Yes","No")</f>
        <v>#VALUE!</v>
      </c>
      <c r="BE567" s="11">
        <f t="shared" si="32"/>
        <v>0</v>
      </c>
      <c r="BF567" s="11">
        <f t="shared" si="33"/>
        <v>0</v>
      </c>
      <c r="BH567" s="21" t="e">
        <f>Table1[[#This Row],[StartTime]]+$BG$2</f>
        <v>#VALUE!</v>
      </c>
    </row>
    <row r="568" spans="3:60" x14ac:dyDescent="0.25">
      <c r="C568" s="35"/>
      <c r="G568" s="1"/>
      <c r="H568" s="1"/>
      <c r="I568" s="1"/>
      <c r="J568" s="1"/>
      <c r="K568" s="33"/>
      <c r="L568" s="22"/>
      <c r="M568" s="1"/>
      <c r="N568" s="1"/>
      <c r="O568" s="1"/>
      <c r="P568" s="1"/>
      <c r="Q568" s="1"/>
      <c r="R568" s="1"/>
      <c r="S568" s="1"/>
      <c r="BB568" s="9" t="str">
        <f t="shared" si="31"/>
        <v>Yes</v>
      </c>
      <c r="BC568" s="9" t="e">
        <f>IF(EFB!$N568=Table1[[#This Row],[ProgramTitle]],"Yes","No")</f>
        <v>#VALUE!</v>
      </c>
      <c r="BD568" s="9" t="e">
        <f>IF(EFB!$S568=Table1[[#This Row],[SeriesEpisodeTitle]],"Yes","No")</f>
        <v>#VALUE!</v>
      </c>
      <c r="BE568" s="11">
        <f t="shared" si="32"/>
        <v>0</v>
      </c>
      <c r="BF568" s="11">
        <f t="shared" si="33"/>
        <v>0</v>
      </c>
      <c r="BH568" s="21" t="e">
        <f>Table1[[#This Row],[StartTime]]+$BG$2</f>
        <v>#VALUE!</v>
      </c>
    </row>
    <row r="569" spans="3:60" x14ac:dyDescent="0.25">
      <c r="C569" s="35"/>
      <c r="G569" s="1"/>
      <c r="H569" s="1"/>
      <c r="I569" s="1"/>
      <c r="J569" s="1"/>
      <c r="K569" s="33"/>
      <c r="L569" s="22"/>
      <c r="M569" s="1"/>
      <c r="N569" s="1"/>
      <c r="O569" s="1"/>
      <c r="P569" s="1"/>
      <c r="Q569" s="1"/>
      <c r="R569" s="1"/>
      <c r="S569" s="1"/>
      <c r="BB569" s="9" t="str">
        <f t="shared" si="31"/>
        <v>Yes</v>
      </c>
      <c r="BC569" s="9" t="e">
        <f>IF(EFB!$N569=Table1[[#This Row],[ProgramTitle]],"Yes","No")</f>
        <v>#VALUE!</v>
      </c>
      <c r="BD569" s="9" t="e">
        <f>IF(EFB!$S569=Table1[[#This Row],[SeriesEpisodeTitle]],"Yes","No")</f>
        <v>#VALUE!</v>
      </c>
      <c r="BE569" s="11">
        <f t="shared" si="32"/>
        <v>0</v>
      </c>
      <c r="BF569" s="11">
        <f t="shared" si="33"/>
        <v>0</v>
      </c>
      <c r="BH569" s="21" t="e">
        <f>Table1[[#This Row],[StartTime]]+$BG$2</f>
        <v>#VALUE!</v>
      </c>
    </row>
    <row r="570" spans="3:60" x14ac:dyDescent="0.25">
      <c r="C570" s="35"/>
      <c r="G570" s="1"/>
      <c r="H570" s="1"/>
      <c r="I570" s="1"/>
      <c r="J570" s="1"/>
      <c r="K570" s="33"/>
      <c r="L570" s="22"/>
      <c r="M570" s="1"/>
      <c r="N570" s="1"/>
      <c r="O570" s="1"/>
      <c r="P570" s="1"/>
      <c r="Q570" s="1"/>
      <c r="R570" s="1"/>
      <c r="S570" s="1"/>
      <c r="BB570" s="9" t="str">
        <f t="shared" si="31"/>
        <v>Yes</v>
      </c>
      <c r="BC570" s="9" t="e">
        <f>IF(EFB!$N570=Table1[[#This Row],[ProgramTitle]],"Yes","No")</f>
        <v>#VALUE!</v>
      </c>
      <c r="BD570" s="9" t="e">
        <f>IF(EFB!$S570=Table1[[#This Row],[SeriesEpisodeTitle]],"Yes","No")</f>
        <v>#VALUE!</v>
      </c>
      <c r="BE570" s="11">
        <f t="shared" si="32"/>
        <v>0</v>
      </c>
      <c r="BF570" s="11">
        <f t="shared" si="33"/>
        <v>0</v>
      </c>
      <c r="BH570" s="21" t="e">
        <f>Table1[[#This Row],[StartTime]]+$BG$2</f>
        <v>#VALUE!</v>
      </c>
    </row>
    <row r="571" spans="3:60" x14ac:dyDescent="0.25">
      <c r="C571" s="35"/>
      <c r="G571" s="1"/>
      <c r="H571" s="1"/>
      <c r="I571" s="1"/>
      <c r="J571" s="1"/>
      <c r="K571" s="33"/>
      <c r="L571" s="22"/>
      <c r="M571" s="1"/>
      <c r="N571" s="1"/>
      <c r="O571" s="1"/>
      <c r="P571" s="1"/>
      <c r="Q571" s="1"/>
      <c r="R571" s="1"/>
      <c r="S571" s="1"/>
      <c r="BB571" s="9" t="str">
        <f t="shared" si="31"/>
        <v>Yes</v>
      </c>
      <c r="BC571" s="9" t="e">
        <f>IF(EFB!$N571=Table1[[#This Row],[ProgramTitle]],"Yes","No")</f>
        <v>#VALUE!</v>
      </c>
      <c r="BD571" s="9" t="e">
        <f>IF(EFB!$S571=Table1[[#This Row],[SeriesEpisodeTitle]],"Yes","No")</f>
        <v>#VALUE!</v>
      </c>
      <c r="BE571" s="11">
        <f t="shared" si="32"/>
        <v>0</v>
      </c>
      <c r="BF571" s="11">
        <f t="shared" si="33"/>
        <v>0</v>
      </c>
      <c r="BH571" s="21" t="e">
        <f>Table1[[#This Row],[StartTime]]+$BG$2</f>
        <v>#VALUE!</v>
      </c>
    </row>
    <row r="572" spans="3:60" x14ac:dyDescent="0.25">
      <c r="C572" s="35"/>
      <c r="G572" s="1"/>
      <c r="H572" s="1"/>
      <c r="I572" s="1"/>
      <c r="J572" s="1"/>
      <c r="K572" s="33"/>
      <c r="L572" s="22"/>
      <c r="M572" s="1"/>
      <c r="N572" s="1"/>
      <c r="O572" s="1"/>
      <c r="P572" s="1"/>
      <c r="Q572" s="1"/>
      <c r="R572" s="1"/>
      <c r="S572" s="1"/>
      <c r="BB572" s="9" t="str">
        <f t="shared" si="31"/>
        <v>Yes</v>
      </c>
      <c r="BC572" s="9" t="e">
        <f>IF(EFB!$N572=Table1[[#This Row],[ProgramTitle]],"Yes","No")</f>
        <v>#VALUE!</v>
      </c>
      <c r="BD572" s="9" t="e">
        <f>IF(EFB!$S572=Table1[[#This Row],[SeriesEpisodeTitle]],"Yes","No")</f>
        <v>#VALUE!</v>
      </c>
      <c r="BE572" s="11">
        <f t="shared" si="32"/>
        <v>0</v>
      </c>
      <c r="BF572" s="11">
        <f t="shared" si="33"/>
        <v>0</v>
      </c>
      <c r="BH572" s="21" t="e">
        <f>Table1[[#This Row],[StartTime]]+$BG$2</f>
        <v>#VALUE!</v>
      </c>
    </row>
    <row r="573" spans="3:60" x14ac:dyDescent="0.25">
      <c r="C573" s="35"/>
      <c r="G573" s="1"/>
      <c r="H573" s="1"/>
      <c r="I573" s="1"/>
      <c r="J573" s="1"/>
      <c r="K573" s="33"/>
      <c r="L573" s="22"/>
      <c r="M573" s="1"/>
      <c r="N573" s="1"/>
      <c r="O573" s="1"/>
      <c r="P573" s="1"/>
      <c r="Q573" s="1"/>
      <c r="R573" s="1"/>
      <c r="S573" s="1"/>
      <c r="BB573" s="9" t="str">
        <f t="shared" si="31"/>
        <v>Yes</v>
      </c>
      <c r="BC573" s="9" t="e">
        <f>IF(EFB!$N573=Table1[[#This Row],[ProgramTitle]],"Yes","No")</f>
        <v>#VALUE!</v>
      </c>
      <c r="BD573" s="9" t="e">
        <f>IF(EFB!$S573=Table1[[#This Row],[SeriesEpisodeTitle]],"Yes","No")</f>
        <v>#VALUE!</v>
      </c>
      <c r="BE573" s="11">
        <f t="shared" si="32"/>
        <v>0</v>
      </c>
      <c r="BF573" s="11">
        <f t="shared" si="33"/>
        <v>0</v>
      </c>
      <c r="BH573" s="21" t="e">
        <f>Table1[[#This Row],[StartTime]]+$BG$2</f>
        <v>#VALUE!</v>
      </c>
    </row>
    <row r="574" spans="3:60" x14ac:dyDescent="0.25">
      <c r="C574" s="35"/>
      <c r="G574" s="1"/>
      <c r="H574" s="1"/>
      <c r="I574" s="1"/>
      <c r="J574" s="1"/>
      <c r="K574" s="33"/>
      <c r="L574" s="22"/>
      <c r="M574" s="1"/>
      <c r="N574" s="1"/>
      <c r="O574" s="1"/>
      <c r="P574" s="1"/>
      <c r="Q574" s="1"/>
      <c r="R574" s="1"/>
      <c r="S574" s="1"/>
      <c r="BB574" s="9" t="str">
        <f t="shared" si="31"/>
        <v>Yes</v>
      </c>
      <c r="BC574" s="9" t="e">
        <f>IF(EFB!$N574=Table1[[#This Row],[ProgramTitle]],"Yes","No")</f>
        <v>#VALUE!</v>
      </c>
      <c r="BD574" s="9" t="e">
        <f>IF(EFB!$S574=Table1[[#This Row],[SeriesEpisodeTitle]],"Yes","No")</f>
        <v>#VALUE!</v>
      </c>
      <c r="BE574" s="11">
        <f t="shared" si="32"/>
        <v>0</v>
      </c>
      <c r="BF574" s="11">
        <f t="shared" si="33"/>
        <v>0</v>
      </c>
      <c r="BH574" s="21" t="e">
        <f>Table1[[#This Row],[StartTime]]+$BG$2</f>
        <v>#VALUE!</v>
      </c>
    </row>
    <row r="575" spans="3:60" x14ac:dyDescent="0.25">
      <c r="C575" s="35"/>
      <c r="G575" s="1"/>
      <c r="H575" s="1"/>
      <c r="I575" s="1"/>
      <c r="J575" s="1"/>
      <c r="K575" s="33"/>
      <c r="L575" s="22"/>
      <c r="M575" s="1"/>
      <c r="N575" s="1"/>
      <c r="O575" s="1"/>
      <c r="P575" s="1"/>
      <c r="Q575" s="1"/>
      <c r="R575" s="1"/>
      <c r="S575" s="1"/>
      <c r="BB575" s="9" t="str">
        <f t="shared" si="31"/>
        <v>Yes</v>
      </c>
      <c r="BC575" s="9" t="e">
        <f>IF(EFB!$N575=Table1[[#This Row],[ProgramTitle]],"Yes","No")</f>
        <v>#VALUE!</v>
      </c>
      <c r="BD575" s="9" t="e">
        <f>IF(EFB!$S575=Table1[[#This Row],[SeriesEpisodeTitle]],"Yes","No")</f>
        <v>#VALUE!</v>
      </c>
      <c r="BE575" s="11">
        <f t="shared" si="32"/>
        <v>0</v>
      </c>
      <c r="BF575" s="11">
        <f t="shared" si="33"/>
        <v>0</v>
      </c>
      <c r="BH575" s="21" t="e">
        <f>Table1[[#This Row],[StartTime]]+$BG$2</f>
        <v>#VALUE!</v>
      </c>
    </row>
    <row r="576" spans="3:60" x14ac:dyDescent="0.25">
      <c r="C576" s="35"/>
      <c r="G576" s="1"/>
      <c r="H576" s="1"/>
      <c r="I576" s="1"/>
      <c r="J576" s="1"/>
      <c r="K576" s="33"/>
      <c r="L576" s="22"/>
      <c r="M576" s="1"/>
      <c r="N576" s="1"/>
      <c r="O576" s="1"/>
      <c r="P576" s="1"/>
      <c r="Q576" s="1"/>
      <c r="R576" s="1"/>
      <c r="S576" s="1"/>
      <c r="BB576" s="9" t="str">
        <f t="shared" si="31"/>
        <v>Yes</v>
      </c>
      <c r="BC576" s="9" t="e">
        <f>IF(EFB!$N576=Table1[[#This Row],[ProgramTitle]],"Yes","No")</f>
        <v>#VALUE!</v>
      </c>
      <c r="BD576" s="9" t="e">
        <f>IF(EFB!$S576=Table1[[#This Row],[SeriesEpisodeTitle]],"Yes","No")</f>
        <v>#VALUE!</v>
      </c>
      <c r="BE576" s="11">
        <f t="shared" si="32"/>
        <v>0</v>
      </c>
      <c r="BF576" s="11">
        <f t="shared" si="33"/>
        <v>0</v>
      </c>
      <c r="BH576" s="21" t="e">
        <f>Table1[[#This Row],[StartTime]]+$BG$2</f>
        <v>#VALUE!</v>
      </c>
    </row>
    <row r="577" spans="3:60" x14ac:dyDescent="0.25">
      <c r="C577" s="35"/>
      <c r="G577" s="1"/>
      <c r="H577" s="1"/>
      <c r="I577" s="1"/>
      <c r="J577" s="1"/>
      <c r="K577" s="33"/>
      <c r="L577" s="22"/>
      <c r="M577" s="1"/>
      <c r="N577" s="1"/>
      <c r="O577" s="1"/>
      <c r="P577" s="1"/>
      <c r="Q577" s="1"/>
      <c r="R577" s="1"/>
      <c r="S577" s="1"/>
      <c r="BB577" s="9" t="str">
        <f t="shared" si="31"/>
        <v>Yes</v>
      </c>
      <c r="BC577" s="9" t="e">
        <f>IF(EFB!$N577=Table1[[#This Row],[ProgramTitle]],"Yes","No")</f>
        <v>#VALUE!</v>
      </c>
      <c r="BD577" s="9" t="e">
        <f>IF(EFB!$S577=Table1[[#This Row],[SeriesEpisodeTitle]],"Yes","No")</f>
        <v>#VALUE!</v>
      </c>
      <c r="BE577" s="11">
        <f t="shared" si="32"/>
        <v>0</v>
      </c>
      <c r="BF577" s="11">
        <f t="shared" si="33"/>
        <v>0</v>
      </c>
      <c r="BH577" s="21" t="e">
        <f>Table1[[#This Row],[StartTime]]+$BG$2</f>
        <v>#VALUE!</v>
      </c>
    </row>
    <row r="578" spans="3:60" x14ac:dyDescent="0.25">
      <c r="C578" s="35"/>
      <c r="G578" s="1"/>
      <c r="H578" s="1"/>
      <c r="I578" s="1"/>
      <c r="J578" s="1"/>
      <c r="K578" s="33"/>
      <c r="L578" s="22"/>
      <c r="M578" s="1"/>
      <c r="N578" s="1"/>
      <c r="O578" s="1"/>
      <c r="P578" s="1"/>
      <c r="Q578" s="1"/>
      <c r="R578" s="1"/>
      <c r="S578" s="1"/>
      <c r="BB578" s="9" t="str">
        <f t="shared" si="31"/>
        <v>Yes</v>
      </c>
      <c r="BC578" s="9" t="e">
        <f>IF(EFB!$N578=Table1[[#This Row],[ProgramTitle]],"Yes","No")</f>
        <v>#VALUE!</v>
      </c>
      <c r="BD578" s="9" t="e">
        <f>IF(EFB!$S578=Table1[[#This Row],[SeriesEpisodeTitle]],"Yes","No")</f>
        <v>#VALUE!</v>
      </c>
      <c r="BE578" s="11">
        <f t="shared" si="32"/>
        <v>0</v>
      </c>
      <c r="BF578" s="11">
        <f t="shared" si="33"/>
        <v>0</v>
      </c>
      <c r="BH578" s="21" t="e">
        <f>Table1[[#This Row],[StartTime]]+$BG$2</f>
        <v>#VALUE!</v>
      </c>
    </row>
    <row r="579" spans="3:60" x14ac:dyDescent="0.25">
      <c r="C579" s="35"/>
      <c r="G579" s="1"/>
      <c r="H579" s="1"/>
      <c r="I579" s="1"/>
      <c r="J579" s="1"/>
      <c r="K579" s="33"/>
      <c r="L579" s="22"/>
      <c r="M579" s="1"/>
      <c r="N579" s="1"/>
      <c r="O579" s="1"/>
      <c r="P579" s="1"/>
      <c r="Q579" s="1"/>
      <c r="R579" s="1"/>
      <c r="S579" s="1"/>
      <c r="BB579" s="9" t="str">
        <f t="shared" si="31"/>
        <v>Yes</v>
      </c>
      <c r="BC579" s="9" t="e">
        <f>IF(EFB!$N579=Table1[[#This Row],[ProgramTitle]],"Yes","No")</f>
        <v>#VALUE!</v>
      </c>
      <c r="BD579" s="9" t="e">
        <f>IF(EFB!$S579=Table1[[#This Row],[SeriesEpisodeTitle]],"Yes","No")</f>
        <v>#VALUE!</v>
      </c>
      <c r="BE579" s="11">
        <f t="shared" si="32"/>
        <v>0</v>
      </c>
      <c r="BF579" s="11">
        <f t="shared" si="33"/>
        <v>0</v>
      </c>
      <c r="BH579" s="21" t="e">
        <f>Table1[[#This Row],[StartTime]]+$BG$2</f>
        <v>#VALUE!</v>
      </c>
    </row>
    <row r="580" spans="3:60" x14ac:dyDescent="0.25">
      <c r="C580" s="35"/>
      <c r="G580" s="1"/>
      <c r="H580" s="1"/>
      <c r="I580" s="1"/>
      <c r="J580" s="1"/>
      <c r="K580" s="33"/>
      <c r="L580" s="22"/>
      <c r="M580" s="1"/>
      <c r="N580" s="1"/>
      <c r="O580" s="1"/>
      <c r="P580" s="1"/>
      <c r="Q580" s="1"/>
      <c r="R580" s="1"/>
      <c r="S580" s="1"/>
      <c r="BB580" s="9" t="str">
        <f t="shared" si="31"/>
        <v>Yes</v>
      </c>
      <c r="BC580" s="9" t="e">
        <f>IF(EFB!$N580=Table1[[#This Row],[ProgramTitle]],"Yes","No")</f>
        <v>#VALUE!</v>
      </c>
      <c r="BD580" s="9" t="e">
        <f>IF(EFB!$S580=Table1[[#This Row],[SeriesEpisodeTitle]],"Yes","No")</f>
        <v>#VALUE!</v>
      </c>
      <c r="BE580" s="11">
        <f t="shared" si="32"/>
        <v>0</v>
      </c>
      <c r="BF580" s="11">
        <f t="shared" si="33"/>
        <v>0</v>
      </c>
      <c r="BH580" s="21" t="e">
        <f>Table1[[#This Row],[StartTime]]+$BG$2</f>
        <v>#VALUE!</v>
      </c>
    </row>
    <row r="581" spans="3:60" x14ac:dyDescent="0.25">
      <c r="C581" s="35"/>
      <c r="G581" s="1"/>
      <c r="H581" s="1"/>
      <c r="I581" s="1"/>
      <c r="J581" s="1"/>
      <c r="K581" s="33"/>
      <c r="L581" s="22"/>
      <c r="M581" s="1"/>
      <c r="N581" s="1"/>
      <c r="O581" s="1"/>
      <c r="P581" s="1"/>
      <c r="Q581" s="1"/>
      <c r="R581" s="1"/>
      <c r="S581" s="1"/>
      <c r="BB581" s="9" t="str">
        <f t="shared" si="31"/>
        <v>Yes</v>
      </c>
      <c r="BC581" s="9" t="e">
        <f>IF(EFB!$N581=Table1[[#This Row],[ProgramTitle]],"Yes","No")</f>
        <v>#VALUE!</v>
      </c>
      <c r="BD581" s="9" t="e">
        <f>IF(EFB!$S581=Table1[[#This Row],[SeriesEpisodeTitle]],"Yes","No")</f>
        <v>#VALUE!</v>
      </c>
      <c r="BE581" s="11">
        <f t="shared" si="32"/>
        <v>0</v>
      </c>
      <c r="BF581" s="11">
        <f t="shared" si="33"/>
        <v>0</v>
      </c>
      <c r="BH581" s="21" t="e">
        <f>Table1[[#This Row],[StartTime]]+$BG$2</f>
        <v>#VALUE!</v>
      </c>
    </row>
    <row r="582" spans="3:60" x14ac:dyDescent="0.25">
      <c r="C582" s="35"/>
      <c r="G582" s="1"/>
      <c r="H582" s="1"/>
      <c r="I582" s="1"/>
      <c r="J582" s="1"/>
      <c r="K582" s="33"/>
      <c r="L582" s="22"/>
      <c r="M582" s="1"/>
      <c r="N582" s="1"/>
      <c r="O582" s="1"/>
      <c r="P582" s="1"/>
      <c r="Q582" s="1"/>
      <c r="R582" s="1"/>
      <c r="S582" s="1"/>
      <c r="BB582" s="9" t="str">
        <f t="shared" si="31"/>
        <v>Yes</v>
      </c>
      <c r="BC582" s="9" t="e">
        <f>IF(EFB!$N582=Table1[[#This Row],[ProgramTitle]],"Yes","No")</f>
        <v>#VALUE!</v>
      </c>
      <c r="BD582" s="9" t="e">
        <f>IF(EFB!$S582=Table1[[#This Row],[SeriesEpisodeTitle]],"Yes","No")</f>
        <v>#VALUE!</v>
      </c>
      <c r="BE582" s="11">
        <f t="shared" si="32"/>
        <v>0</v>
      </c>
      <c r="BF582" s="11">
        <f t="shared" si="33"/>
        <v>0</v>
      </c>
      <c r="BH582" s="21" t="e">
        <f>Table1[[#This Row],[StartTime]]+$BG$2</f>
        <v>#VALUE!</v>
      </c>
    </row>
    <row r="583" spans="3:60" x14ac:dyDescent="0.25">
      <c r="C583" s="35"/>
      <c r="G583" s="1"/>
      <c r="H583" s="1"/>
      <c r="I583" s="1"/>
      <c r="J583" s="1"/>
      <c r="K583" s="33"/>
      <c r="L583" s="22"/>
      <c r="M583" s="1"/>
      <c r="N583" s="1"/>
      <c r="O583" s="1"/>
      <c r="P583" s="1"/>
      <c r="Q583" s="1"/>
      <c r="R583" s="1"/>
      <c r="S583" s="1"/>
      <c r="BB583" s="9" t="str">
        <f t="shared" si="31"/>
        <v>Yes</v>
      </c>
      <c r="BC583" s="9" t="e">
        <f>IF(EFB!$N583=Table1[[#This Row],[ProgramTitle]],"Yes","No")</f>
        <v>#VALUE!</v>
      </c>
      <c r="BD583" s="9" t="e">
        <f>IF(EFB!$S583=Table1[[#This Row],[SeriesEpisodeTitle]],"Yes","No")</f>
        <v>#VALUE!</v>
      </c>
      <c r="BE583" s="11">
        <f t="shared" si="32"/>
        <v>0</v>
      </c>
      <c r="BF583" s="11">
        <f t="shared" si="33"/>
        <v>0</v>
      </c>
      <c r="BH583" s="21" t="e">
        <f>Table1[[#This Row],[StartTime]]+$BG$2</f>
        <v>#VALUE!</v>
      </c>
    </row>
    <row r="584" spans="3:60" x14ac:dyDescent="0.25">
      <c r="C584" s="35"/>
      <c r="G584" s="1"/>
      <c r="H584" s="1"/>
      <c r="I584" s="1"/>
      <c r="J584" s="1"/>
      <c r="K584" s="33"/>
      <c r="L584" s="22"/>
      <c r="M584" s="1"/>
      <c r="N584" s="1"/>
      <c r="O584" s="1"/>
      <c r="P584" s="1"/>
      <c r="Q584" s="1"/>
      <c r="R584" s="1"/>
      <c r="S584" s="1"/>
      <c r="BB584" s="9" t="str">
        <f t="shared" si="31"/>
        <v>Yes</v>
      </c>
      <c r="BC584" s="9" t="e">
        <f>IF(EFB!$N584=Table1[[#This Row],[ProgramTitle]],"Yes","No")</f>
        <v>#VALUE!</v>
      </c>
      <c r="BD584" s="9" t="e">
        <f>IF(EFB!$S584=Table1[[#This Row],[SeriesEpisodeTitle]],"Yes","No")</f>
        <v>#VALUE!</v>
      </c>
      <c r="BE584" s="11">
        <f t="shared" si="32"/>
        <v>0</v>
      </c>
      <c r="BF584" s="11">
        <f t="shared" si="33"/>
        <v>0</v>
      </c>
      <c r="BH584" s="21" t="e">
        <f>Table1[[#This Row],[StartTime]]+$BG$2</f>
        <v>#VALUE!</v>
      </c>
    </row>
    <row r="585" spans="3:60" x14ac:dyDescent="0.25">
      <c r="C585" s="35"/>
      <c r="G585" s="1"/>
      <c r="H585" s="1"/>
      <c r="I585" s="1"/>
      <c r="J585" s="1"/>
      <c r="K585" s="33"/>
      <c r="L585" s="22"/>
      <c r="M585" s="1"/>
      <c r="N585" s="1"/>
      <c r="O585" s="1"/>
      <c r="P585" s="1"/>
      <c r="Q585" s="1"/>
      <c r="R585" s="1"/>
      <c r="S585" s="1"/>
      <c r="BB585" s="9" t="str">
        <f t="shared" si="31"/>
        <v>Yes</v>
      </c>
      <c r="BC585" s="9" t="e">
        <f>IF(EFB!$N585=Table1[[#This Row],[ProgramTitle]],"Yes","No")</f>
        <v>#VALUE!</v>
      </c>
      <c r="BD585" s="9" t="e">
        <f>IF(EFB!$S585=Table1[[#This Row],[SeriesEpisodeTitle]],"Yes","No")</f>
        <v>#VALUE!</v>
      </c>
      <c r="BE585" s="11">
        <f t="shared" si="32"/>
        <v>0</v>
      </c>
      <c r="BF585" s="11">
        <f t="shared" si="33"/>
        <v>0</v>
      </c>
      <c r="BH585" s="21" t="e">
        <f>Table1[[#This Row],[StartTime]]+$BG$2</f>
        <v>#VALUE!</v>
      </c>
    </row>
    <row r="586" spans="3:60" x14ac:dyDescent="0.25">
      <c r="C586" s="35"/>
      <c r="G586" s="1"/>
      <c r="H586" s="1"/>
      <c r="I586" s="1"/>
      <c r="J586" s="1"/>
      <c r="K586" s="33"/>
      <c r="L586" s="22"/>
      <c r="M586" s="1"/>
      <c r="N586" s="1"/>
      <c r="O586" s="1"/>
      <c r="P586" s="1"/>
      <c r="Q586" s="1"/>
      <c r="R586" s="1"/>
      <c r="S586" s="1"/>
      <c r="BB586" s="9" t="str">
        <f t="shared" si="31"/>
        <v>Yes</v>
      </c>
      <c r="BC586" s="9" t="e">
        <f>IF(EFB!$N586=Table1[[#This Row],[ProgramTitle]],"Yes","No")</f>
        <v>#VALUE!</v>
      </c>
      <c r="BD586" s="9" t="e">
        <f>IF(EFB!$S586=Table1[[#This Row],[SeriesEpisodeTitle]],"Yes","No")</f>
        <v>#VALUE!</v>
      </c>
      <c r="BE586" s="11">
        <f t="shared" si="32"/>
        <v>0</v>
      </c>
      <c r="BF586" s="11">
        <f t="shared" si="33"/>
        <v>0</v>
      </c>
      <c r="BH586" s="21" t="e">
        <f>Table1[[#This Row],[StartTime]]+$BG$2</f>
        <v>#VALUE!</v>
      </c>
    </row>
    <row r="587" spans="3:60" x14ac:dyDescent="0.25">
      <c r="C587" s="35"/>
      <c r="G587" s="1"/>
      <c r="H587" s="1"/>
      <c r="I587" s="1"/>
      <c r="J587" s="1"/>
      <c r="K587" s="33"/>
      <c r="L587" s="22"/>
      <c r="M587" s="1"/>
      <c r="N587" s="1"/>
      <c r="O587" s="1"/>
      <c r="P587" s="1"/>
      <c r="Q587" s="1"/>
      <c r="R587" s="1"/>
      <c r="S587" s="1"/>
      <c r="BB587" s="9" t="str">
        <f t="shared" si="31"/>
        <v>Yes</v>
      </c>
      <c r="BC587" s="9" t="e">
        <f>IF(EFB!$N587=Table1[[#This Row],[ProgramTitle]],"Yes","No")</f>
        <v>#VALUE!</v>
      </c>
      <c r="BD587" s="9" t="e">
        <f>IF(EFB!$S587=Table1[[#This Row],[SeriesEpisodeTitle]],"Yes","No")</f>
        <v>#VALUE!</v>
      </c>
      <c r="BE587" s="11">
        <f t="shared" si="32"/>
        <v>0</v>
      </c>
      <c r="BF587" s="11">
        <f t="shared" si="33"/>
        <v>0</v>
      </c>
      <c r="BH587" s="21" t="e">
        <f>Table1[[#This Row],[StartTime]]+$BG$2</f>
        <v>#VALUE!</v>
      </c>
    </row>
    <row r="588" spans="3:60" x14ac:dyDescent="0.25">
      <c r="C588" s="35"/>
      <c r="G588" s="1"/>
      <c r="H588" s="1"/>
      <c r="I588" s="1"/>
      <c r="J588" s="1"/>
      <c r="K588" s="33"/>
      <c r="L588" s="22"/>
      <c r="M588" s="1"/>
      <c r="N588" s="1"/>
      <c r="O588" s="1"/>
      <c r="P588" s="1"/>
      <c r="Q588" s="1"/>
      <c r="R588" s="1"/>
      <c r="S588" s="1"/>
      <c r="BB588" s="9" t="str">
        <f t="shared" si="31"/>
        <v>Yes</v>
      </c>
      <c r="BC588" s="9" t="e">
        <f>IF(EFB!$N588=Table1[[#This Row],[ProgramTitle]],"Yes","No")</f>
        <v>#VALUE!</v>
      </c>
      <c r="BD588" s="9" t="e">
        <f>IF(EFB!$S588=Table1[[#This Row],[SeriesEpisodeTitle]],"Yes","No")</f>
        <v>#VALUE!</v>
      </c>
      <c r="BE588" s="11">
        <f t="shared" si="32"/>
        <v>0</v>
      </c>
      <c r="BF588" s="11">
        <f t="shared" si="33"/>
        <v>0</v>
      </c>
      <c r="BH588" s="21" t="e">
        <f>Table1[[#This Row],[StartTime]]+$BG$2</f>
        <v>#VALUE!</v>
      </c>
    </row>
    <row r="589" spans="3:60" x14ac:dyDescent="0.25">
      <c r="C589" s="35"/>
      <c r="G589" s="1"/>
      <c r="H589" s="1"/>
      <c r="I589" s="1"/>
      <c r="J589" s="1"/>
      <c r="K589" s="33"/>
      <c r="L589" s="22"/>
      <c r="M589" s="1"/>
      <c r="N589" s="1"/>
      <c r="O589" s="1"/>
      <c r="P589" s="1"/>
      <c r="Q589" s="1"/>
      <c r="R589" s="1"/>
      <c r="S589" s="1"/>
      <c r="BB589" s="9" t="str">
        <f t="shared" si="31"/>
        <v>Yes</v>
      </c>
      <c r="BC589" s="9" t="e">
        <f>IF(EFB!$N589=Table1[[#This Row],[ProgramTitle]],"Yes","No")</f>
        <v>#VALUE!</v>
      </c>
      <c r="BD589" s="9" t="e">
        <f>IF(EFB!$S589=Table1[[#This Row],[SeriesEpisodeTitle]],"Yes","No")</f>
        <v>#VALUE!</v>
      </c>
      <c r="BE589" s="11">
        <f t="shared" si="32"/>
        <v>0</v>
      </c>
      <c r="BF589" s="11">
        <f t="shared" si="33"/>
        <v>0</v>
      </c>
      <c r="BH589" s="21" t="e">
        <f>Table1[[#This Row],[StartTime]]+$BG$2</f>
        <v>#VALUE!</v>
      </c>
    </row>
    <row r="590" spans="3:60" x14ac:dyDescent="0.25">
      <c r="C590" s="35"/>
      <c r="G590" s="1"/>
      <c r="H590" s="1"/>
      <c r="I590" s="1"/>
      <c r="J590" s="1"/>
      <c r="K590" s="33"/>
      <c r="L590" s="22"/>
      <c r="M590" s="1"/>
      <c r="N590" s="1"/>
      <c r="O590" s="1"/>
      <c r="P590" s="1"/>
      <c r="Q590" s="1"/>
      <c r="R590" s="1"/>
      <c r="S590" s="1"/>
      <c r="BB590" s="9" t="str">
        <f t="shared" si="31"/>
        <v>Yes</v>
      </c>
      <c r="BC590" s="9" t="e">
        <f>IF(EFB!$N590=Table1[[#This Row],[ProgramTitle]],"Yes","No")</f>
        <v>#VALUE!</v>
      </c>
      <c r="BD590" s="9" t="e">
        <f>IF(EFB!$S590=Table1[[#This Row],[SeriesEpisodeTitle]],"Yes","No")</f>
        <v>#VALUE!</v>
      </c>
      <c r="BE590" s="11">
        <f t="shared" si="32"/>
        <v>0</v>
      </c>
      <c r="BF590" s="11">
        <f t="shared" si="33"/>
        <v>0</v>
      </c>
      <c r="BH590" s="21" t="e">
        <f>Table1[[#This Row],[StartTime]]+$BG$2</f>
        <v>#VALUE!</v>
      </c>
    </row>
    <row r="591" spans="3:60" x14ac:dyDescent="0.25">
      <c r="C591" s="35"/>
      <c r="G591" s="1"/>
      <c r="H591" s="1"/>
      <c r="I591" s="1"/>
      <c r="J591" s="1"/>
      <c r="K591" s="33"/>
      <c r="L591" s="22"/>
      <c r="M591" s="1"/>
      <c r="N591" s="1"/>
      <c r="O591" s="1"/>
      <c r="P591" s="1"/>
      <c r="Q591" s="1"/>
      <c r="R591" s="1"/>
      <c r="S591" s="1"/>
      <c r="BB591" s="9" t="str">
        <f t="shared" si="31"/>
        <v>Yes</v>
      </c>
      <c r="BC591" s="9" t="e">
        <f>IF(EFB!$N591=Table1[[#This Row],[ProgramTitle]],"Yes","No")</f>
        <v>#VALUE!</v>
      </c>
      <c r="BD591" s="9" t="e">
        <f>IF(EFB!$S591=Table1[[#This Row],[SeriesEpisodeTitle]],"Yes","No")</f>
        <v>#VALUE!</v>
      </c>
      <c r="BE591" s="11">
        <f t="shared" si="32"/>
        <v>0</v>
      </c>
      <c r="BF591" s="11">
        <f t="shared" si="33"/>
        <v>0</v>
      </c>
      <c r="BH591" s="21" t="e">
        <f>Table1[[#This Row],[StartTime]]+$BG$2</f>
        <v>#VALUE!</v>
      </c>
    </row>
    <row r="592" spans="3:60" x14ac:dyDescent="0.25">
      <c r="C592" s="35"/>
      <c r="G592" s="1"/>
      <c r="H592" s="1"/>
      <c r="I592" s="1"/>
      <c r="J592" s="1"/>
      <c r="K592" s="33"/>
      <c r="L592" s="22"/>
      <c r="M592" s="1"/>
      <c r="N592" s="1"/>
      <c r="O592" s="1"/>
      <c r="P592" s="1"/>
      <c r="Q592" s="1"/>
      <c r="R592" s="1"/>
      <c r="S592" s="1"/>
      <c r="BB592" s="9" t="str">
        <f t="shared" si="31"/>
        <v>Yes</v>
      </c>
      <c r="BC592" s="9" t="e">
        <f>IF(EFB!$N592=Table1[[#This Row],[ProgramTitle]],"Yes","No")</f>
        <v>#VALUE!</v>
      </c>
      <c r="BD592" s="9" t="e">
        <f>IF(EFB!$S592=Table1[[#This Row],[SeriesEpisodeTitle]],"Yes","No")</f>
        <v>#VALUE!</v>
      </c>
      <c r="BE592" s="11">
        <f t="shared" si="32"/>
        <v>0</v>
      </c>
      <c r="BF592" s="11">
        <f t="shared" si="33"/>
        <v>0</v>
      </c>
      <c r="BH592" s="21" t="e">
        <f>Table1[[#This Row],[StartTime]]+$BG$2</f>
        <v>#VALUE!</v>
      </c>
    </row>
    <row r="593" spans="3:60" x14ac:dyDescent="0.25">
      <c r="C593" s="35"/>
      <c r="G593" s="1"/>
      <c r="H593" s="1"/>
      <c r="I593" s="1"/>
      <c r="J593" s="1"/>
      <c r="K593" s="33"/>
      <c r="L593" s="22"/>
      <c r="M593" s="1"/>
      <c r="N593" s="1"/>
      <c r="O593" s="1"/>
      <c r="P593" s="1"/>
      <c r="Q593" s="1"/>
      <c r="R593" s="1"/>
      <c r="S593" s="1"/>
      <c r="BB593" s="9" t="str">
        <f t="shared" si="31"/>
        <v>Yes</v>
      </c>
      <c r="BC593" s="9" t="e">
        <f>IF(EFB!$N593=Table1[[#This Row],[ProgramTitle]],"Yes","No")</f>
        <v>#VALUE!</v>
      </c>
      <c r="BD593" s="9" t="e">
        <f>IF(EFB!$S593=Table1[[#This Row],[SeriesEpisodeTitle]],"Yes","No")</f>
        <v>#VALUE!</v>
      </c>
      <c r="BE593" s="11">
        <f t="shared" si="32"/>
        <v>0</v>
      </c>
      <c r="BF593" s="11">
        <f t="shared" si="33"/>
        <v>0</v>
      </c>
      <c r="BH593" s="21" t="e">
        <f>Table1[[#This Row],[StartTime]]+$BG$2</f>
        <v>#VALUE!</v>
      </c>
    </row>
    <row r="594" spans="3:60" x14ac:dyDescent="0.25">
      <c r="C594" s="35"/>
      <c r="G594" s="1"/>
      <c r="H594" s="1"/>
      <c r="I594" s="1"/>
      <c r="J594" s="1"/>
      <c r="K594" s="33"/>
      <c r="L594" s="22"/>
      <c r="M594" s="1"/>
      <c r="N594" s="1"/>
      <c r="O594" s="1"/>
      <c r="P594" s="1"/>
      <c r="Q594" s="1"/>
      <c r="R594" s="1"/>
      <c r="S594" s="1"/>
      <c r="BB594" s="9" t="str">
        <f t="shared" si="31"/>
        <v>Yes</v>
      </c>
      <c r="BC594" s="9" t="e">
        <f>IF(EFB!$N594=Table1[[#This Row],[ProgramTitle]],"Yes","No")</f>
        <v>#VALUE!</v>
      </c>
      <c r="BD594" s="9" t="e">
        <f>IF(EFB!$S594=Table1[[#This Row],[SeriesEpisodeTitle]],"Yes","No")</f>
        <v>#VALUE!</v>
      </c>
      <c r="BE594" s="11">
        <f t="shared" si="32"/>
        <v>0</v>
      </c>
      <c r="BF594" s="11">
        <f t="shared" si="33"/>
        <v>0</v>
      </c>
      <c r="BH594" s="21" t="e">
        <f>Table1[[#This Row],[StartTime]]+$BG$2</f>
        <v>#VALUE!</v>
      </c>
    </row>
    <row r="595" spans="3:60" x14ac:dyDescent="0.25">
      <c r="C595" s="35"/>
      <c r="G595" s="1"/>
      <c r="H595" s="1"/>
      <c r="I595" s="1"/>
      <c r="J595" s="1"/>
      <c r="K595" s="33"/>
      <c r="L595" s="22"/>
      <c r="M595" s="1"/>
      <c r="N595" s="1"/>
      <c r="O595" s="1"/>
      <c r="P595" s="1"/>
      <c r="Q595" s="1"/>
      <c r="R595" s="1"/>
      <c r="S595" s="1"/>
      <c r="BB595" s="9" t="str">
        <f t="shared" si="31"/>
        <v>Yes</v>
      </c>
      <c r="BC595" s="9" t="e">
        <f>IF(EFB!$N595=Table1[[#This Row],[ProgramTitle]],"Yes","No")</f>
        <v>#VALUE!</v>
      </c>
      <c r="BD595" s="9" t="e">
        <f>IF(EFB!$S595=Table1[[#This Row],[SeriesEpisodeTitle]],"Yes","No")</f>
        <v>#VALUE!</v>
      </c>
      <c r="BE595" s="11">
        <f t="shared" si="32"/>
        <v>0</v>
      </c>
      <c r="BF595" s="11">
        <f t="shared" si="33"/>
        <v>0</v>
      </c>
      <c r="BH595" s="21" t="e">
        <f>Table1[[#This Row],[StartTime]]+$BG$2</f>
        <v>#VALUE!</v>
      </c>
    </row>
    <row r="596" spans="3:60" x14ac:dyDescent="0.25">
      <c r="C596" s="35"/>
      <c r="G596" s="1"/>
      <c r="H596" s="1"/>
      <c r="I596" s="1"/>
      <c r="J596" s="1"/>
      <c r="K596" s="33"/>
      <c r="L596" s="22"/>
      <c r="M596" s="1"/>
      <c r="N596" s="1"/>
      <c r="O596" s="1"/>
      <c r="P596" s="1"/>
      <c r="Q596" s="1"/>
      <c r="R596" s="1"/>
      <c r="S596" s="1"/>
      <c r="BB596" s="9" t="str">
        <f t="shared" si="31"/>
        <v>Yes</v>
      </c>
      <c r="BC596" s="9" t="e">
        <f>IF(EFB!$N596=Table1[[#This Row],[ProgramTitle]],"Yes","No")</f>
        <v>#VALUE!</v>
      </c>
      <c r="BD596" s="9" t="e">
        <f>IF(EFB!$S596=Table1[[#This Row],[SeriesEpisodeTitle]],"Yes","No")</f>
        <v>#VALUE!</v>
      </c>
      <c r="BE596" s="11">
        <f t="shared" si="32"/>
        <v>0</v>
      </c>
      <c r="BF596" s="11">
        <f t="shared" si="33"/>
        <v>0</v>
      </c>
      <c r="BH596" s="21" t="e">
        <f>Table1[[#This Row],[StartTime]]+$BG$2</f>
        <v>#VALUE!</v>
      </c>
    </row>
    <row r="597" spans="3:60" x14ac:dyDescent="0.25">
      <c r="C597" s="35"/>
      <c r="G597" s="1"/>
      <c r="H597" s="1"/>
      <c r="I597" s="1"/>
      <c r="J597" s="1"/>
      <c r="K597" s="33"/>
      <c r="L597" s="22"/>
      <c r="M597" s="1"/>
      <c r="N597" s="1"/>
      <c r="O597" s="1"/>
      <c r="P597" s="1"/>
      <c r="Q597" s="1"/>
      <c r="R597" s="1"/>
      <c r="S597" s="1"/>
      <c r="BB597" s="9" t="str">
        <f t="shared" si="31"/>
        <v>Yes</v>
      </c>
      <c r="BC597" s="9" t="e">
        <f>IF(EFB!$N597=Table1[[#This Row],[ProgramTitle]],"Yes","No")</f>
        <v>#VALUE!</v>
      </c>
      <c r="BD597" s="9" t="e">
        <f>IF(EFB!$S597=Table1[[#This Row],[SeriesEpisodeTitle]],"Yes","No")</f>
        <v>#VALUE!</v>
      </c>
      <c r="BE597" s="11">
        <f t="shared" si="32"/>
        <v>0</v>
      </c>
      <c r="BF597" s="11">
        <f t="shared" si="33"/>
        <v>0</v>
      </c>
      <c r="BH597" s="21" t="e">
        <f>Table1[[#This Row],[StartTime]]+$BG$2</f>
        <v>#VALUE!</v>
      </c>
    </row>
    <row r="598" spans="3:60" x14ac:dyDescent="0.25">
      <c r="C598" s="35"/>
      <c r="G598" s="1"/>
      <c r="H598" s="1"/>
      <c r="I598" s="1"/>
      <c r="J598" s="1"/>
      <c r="K598" s="33"/>
      <c r="L598" s="22"/>
      <c r="M598" s="1"/>
      <c r="N598" s="1"/>
      <c r="O598" s="1"/>
      <c r="P598" s="1"/>
      <c r="Q598" s="1"/>
      <c r="R598" s="1"/>
      <c r="S598" s="1"/>
      <c r="BB598" s="9" t="str">
        <f t="shared" si="31"/>
        <v>Yes</v>
      </c>
      <c r="BC598" s="9" t="e">
        <f>IF(EFB!$N598=Table1[[#This Row],[ProgramTitle]],"Yes","No")</f>
        <v>#VALUE!</v>
      </c>
      <c r="BD598" s="9" t="e">
        <f>IF(EFB!$S598=Table1[[#This Row],[SeriesEpisodeTitle]],"Yes","No")</f>
        <v>#VALUE!</v>
      </c>
      <c r="BE598" s="11">
        <f t="shared" si="32"/>
        <v>0</v>
      </c>
      <c r="BF598" s="11">
        <f t="shared" si="33"/>
        <v>0</v>
      </c>
      <c r="BH598" s="21" t="e">
        <f>Table1[[#This Row],[StartTime]]+$BG$2</f>
        <v>#VALUE!</v>
      </c>
    </row>
    <row r="599" spans="3:60" x14ac:dyDescent="0.25">
      <c r="C599" s="35"/>
      <c r="G599" s="1"/>
      <c r="H599" s="1"/>
      <c r="I599" s="1"/>
      <c r="J599" s="1"/>
      <c r="K599" s="33"/>
      <c r="L599" s="22"/>
      <c r="M599" s="1"/>
      <c r="N599" s="1"/>
      <c r="O599" s="1"/>
      <c r="P599" s="1"/>
      <c r="Q599" s="1"/>
      <c r="R599" s="1"/>
      <c r="S599" s="1"/>
      <c r="BB599" s="9" t="str">
        <f t="shared" si="31"/>
        <v>Yes</v>
      </c>
      <c r="BC599" s="9" t="e">
        <f>IF(EFB!$N599=Table1[[#This Row],[ProgramTitle]],"Yes","No")</f>
        <v>#VALUE!</v>
      </c>
      <c r="BD599" s="9" t="e">
        <f>IF(EFB!$S599=Table1[[#This Row],[SeriesEpisodeTitle]],"Yes","No")</f>
        <v>#VALUE!</v>
      </c>
      <c r="BE599" s="11">
        <f t="shared" si="32"/>
        <v>0</v>
      </c>
      <c r="BF599" s="11">
        <f t="shared" si="33"/>
        <v>0</v>
      </c>
      <c r="BH599" s="21" t="e">
        <f>Table1[[#This Row],[StartTime]]+$BG$2</f>
        <v>#VALUE!</v>
      </c>
    </row>
    <row r="600" spans="3:60" x14ac:dyDescent="0.25">
      <c r="C600" s="35"/>
      <c r="G600" s="1"/>
      <c r="H600" s="1"/>
      <c r="I600" s="1"/>
      <c r="J600" s="1"/>
      <c r="K600" s="33"/>
      <c r="L600" s="22"/>
      <c r="M600" s="1"/>
      <c r="N600" s="1"/>
      <c r="O600" s="1"/>
      <c r="P600" s="1"/>
      <c r="Q600" s="1"/>
      <c r="R600" s="1"/>
      <c r="S600" s="1"/>
      <c r="BB600" s="9" t="str">
        <f t="shared" si="31"/>
        <v>Yes</v>
      </c>
      <c r="BC600" s="9" t="e">
        <f>IF(EFB!$N600=Table1[[#This Row],[ProgramTitle]],"Yes","No")</f>
        <v>#VALUE!</v>
      </c>
      <c r="BD600" s="9" t="e">
        <f>IF(EFB!$S600=Table1[[#This Row],[SeriesEpisodeTitle]],"Yes","No")</f>
        <v>#VALUE!</v>
      </c>
      <c r="BE600" s="11">
        <f t="shared" si="32"/>
        <v>0</v>
      </c>
      <c r="BF600" s="11">
        <f t="shared" si="33"/>
        <v>0</v>
      </c>
      <c r="BH600" s="21" t="e">
        <f>Table1[[#This Row],[StartTime]]+$BG$2</f>
        <v>#VALUE!</v>
      </c>
    </row>
    <row r="601" spans="3:60" x14ac:dyDescent="0.25">
      <c r="C601" s="35"/>
      <c r="G601" s="1"/>
      <c r="H601" s="1"/>
      <c r="I601" s="1"/>
      <c r="J601" s="1"/>
      <c r="K601" s="33"/>
      <c r="L601" s="22"/>
      <c r="M601" s="1"/>
      <c r="N601" s="1"/>
      <c r="O601" s="1"/>
      <c r="P601" s="1"/>
      <c r="Q601" s="1"/>
      <c r="R601" s="1"/>
      <c r="S601" s="1"/>
      <c r="BB601" s="9" t="str">
        <f t="shared" si="31"/>
        <v>Yes</v>
      </c>
      <c r="BC601" s="9" t="e">
        <f>IF(EFB!$N601=Table1[[#This Row],[ProgramTitle]],"Yes","No")</f>
        <v>#VALUE!</v>
      </c>
      <c r="BD601" s="9" t="e">
        <f>IF(EFB!$S601=Table1[[#This Row],[SeriesEpisodeTitle]],"Yes","No")</f>
        <v>#VALUE!</v>
      </c>
      <c r="BE601" s="11">
        <f t="shared" si="32"/>
        <v>0</v>
      </c>
      <c r="BF601" s="11">
        <f t="shared" si="33"/>
        <v>0</v>
      </c>
      <c r="BH601" s="21" t="e">
        <f>Table1[[#This Row],[StartTime]]+$BG$2</f>
        <v>#VALUE!</v>
      </c>
    </row>
    <row r="602" spans="3:60" x14ac:dyDescent="0.25">
      <c r="C602" s="35"/>
      <c r="G602" s="1"/>
      <c r="H602" s="1"/>
      <c r="I602" s="1"/>
      <c r="J602" s="1"/>
      <c r="K602" s="33"/>
      <c r="L602" s="22"/>
      <c r="M602" s="1"/>
      <c r="N602" s="1"/>
      <c r="O602" s="1"/>
      <c r="P602" s="1"/>
      <c r="Q602" s="1"/>
      <c r="R602" s="1"/>
      <c r="S602" s="1"/>
      <c r="BB602" s="9" t="str">
        <f t="shared" si="31"/>
        <v>Yes</v>
      </c>
      <c r="BC602" s="9" t="e">
        <f>IF(EFB!$N602=Table1[[#This Row],[ProgramTitle]],"Yes","No")</f>
        <v>#VALUE!</v>
      </c>
      <c r="BD602" s="9" t="e">
        <f>IF(EFB!$S602=Table1[[#This Row],[SeriesEpisodeTitle]],"Yes","No")</f>
        <v>#VALUE!</v>
      </c>
      <c r="BE602" s="11">
        <f t="shared" si="32"/>
        <v>0</v>
      </c>
      <c r="BF602" s="11">
        <f t="shared" si="33"/>
        <v>0</v>
      </c>
      <c r="BH602" s="21" t="e">
        <f>Table1[[#This Row],[StartTime]]+$BG$2</f>
        <v>#VALUE!</v>
      </c>
    </row>
    <row r="603" spans="3:60" x14ac:dyDescent="0.25">
      <c r="C603" s="35"/>
      <c r="G603" s="1"/>
      <c r="H603" s="1"/>
      <c r="I603" s="1"/>
      <c r="J603" s="1"/>
      <c r="K603" s="33"/>
      <c r="L603" s="22"/>
      <c r="M603" s="1"/>
      <c r="N603" s="1"/>
      <c r="O603" s="1"/>
      <c r="P603" s="1"/>
      <c r="Q603" s="1"/>
      <c r="R603" s="1"/>
      <c r="S603" s="1"/>
      <c r="BB603" s="9" t="str">
        <f t="shared" si="31"/>
        <v>Yes</v>
      </c>
      <c r="BC603" s="9" t="e">
        <f>IF(EFB!$N603=Table1[[#This Row],[ProgramTitle]],"Yes","No")</f>
        <v>#VALUE!</v>
      </c>
      <c r="BD603" s="9" t="e">
        <f>IF(EFB!$S603=Table1[[#This Row],[SeriesEpisodeTitle]],"Yes","No")</f>
        <v>#VALUE!</v>
      </c>
      <c r="BE603" s="11">
        <f t="shared" si="32"/>
        <v>0</v>
      </c>
      <c r="BF603" s="11">
        <f t="shared" si="33"/>
        <v>0</v>
      </c>
      <c r="BH603" s="21" t="e">
        <f>Table1[[#This Row],[StartTime]]+$BG$2</f>
        <v>#VALUE!</v>
      </c>
    </row>
    <row r="604" spans="3:60" x14ac:dyDescent="0.25">
      <c r="C604" s="35"/>
      <c r="G604" s="1"/>
      <c r="H604" s="1"/>
      <c r="I604" s="1"/>
      <c r="J604" s="1"/>
      <c r="K604" s="33"/>
      <c r="L604" s="22"/>
      <c r="M604" s="1"/>
      <c r="N604" s="1"/>
      <c r="O604" s="1"/>
      <c r="P604" s="1"/>
      <c r="Q604" s="1"/>
      <c r="R604" s="1"/>
      <c r="S604" s="1"/>
      <c r="BB604" s="9" t="str">
        <f t="shared" si="31"/>
        <v>Yes</v>
      </c>
      <c r="BC604" s="9" t="e">
        <f>IF(EFB!$N604=Table1[[#This Row],[ProgramTitle]],"Yes","No")</f>
        <v>#VALUE!</v>
      </c>
      <c r="BD604" s="9" t="e">
        <f>IF(EFB!$S604=Table1[[#This Row],[SeriesEpisodeTitle]],"Yes","No")</f>
        <v>#VALUE!</v>
      </c>
      <c r="BE604" s="11">
        <f t="shared" si="32"/>
        <v>0</v>
      </c>
      <c r="BF604" s="11">
        <f t="shared" si="33"/>
        <v>0</v>
      </c>
      <c r="BH604" s="21" t="e">
        <f>Table1[[#This Row],[StartTime]]+$BG$2</f>
        <v>#VALUE!</v>
      </c>
    </row>
    <row r="605" spans="3:60" x14ac:dyDescent="0.25">
      <c r="C605" s="35"/>
      <c r="G605" s="1"/>
      <c r="H605" s="1"/>
      <c r="I605" s="1"/>
      <c r="J605" s="1"/>
      <c r="K605" s="33"/>
      <c r="L605" s="22"/>
      <c r="M605" s="1"/>
      <c r="N605" s="1"/>
      <c r="O605" s="1"/>
      <c r="P605" s="1"/>
      <c r="Q605" s="1"/>
      <c r="R605" s="1"/>
      <c r="S605" s="1"/>
      <c r="BB605" s="9" t="str">
        <f t="shared" si="31"/>
        <v>Yes</v>
      </c>
      <c r="BC605" s="9" t="e">
        <f>IF(EFB!$N605=Table1[[#This Row],[ProgramTitle]],"Yes","No")</f>
        <v>#VALUE!</v>
      </c>
      <c r="BD605" s="9" t="e">
        <f>IF(EFB!$S605=Table1[[#This Row],[SeriesEpisodeTitle]],"Yes","No")</f>
        <v>#VALUE!</v>
      </c>
      <c r="BE605" s="11">
        <f t="shared" si="32"/>
        <v>0</v>
      </c>
      <c r="BF605" s="11">
        <f t="shared" si="33"/>
        <v>0</v>
      </c>
      <c r="BH605" s="21" t="e">
        <f>Table1[[#This Row],[StartTime]]+$BG$2</f>
        <v>#VALUE!</v>
      </c>
    </row>
    <row r="606" spans="3:60" x14ac:dyDescent="0.25">
      <c r="C606" s="35"/>
      <c r="G606" s="1"/>
      <c r="H606" s="1"/>
      <c r="I606" s="1"/>
      <c r="J606" s="1"/>
      <c r="K606" s="33"/>
      <c r="L606" s="22"/>
      <c r="M606" s="1"/>
      <c r="N606" s="1"/>
      <c r="O606" s="1"/>
      <c r="P606" s="1"/>
      <c r="Q606" s="1"/>
      <c r="R606" s="1"/>
      <c r="S606" s="1"/>
      <c r="BB606" s="9" t="str">
        <f t="shared" si="31"/>
        <v>Yes</v>
      </c>
      <c r="BC606" s="9" t="e">
        <f>IF(EFB!$N606=Table1[[#This Row],[ProgramTitle]],"Yes","No")</f>
        <v>#VALUE!</v>
      </c>
      <c r="BD606" s="9" t="e">
        <f>IF(EFB!$S606=Table1[[#This Row],[SeriesEpisodeTitle]],"Yes","No")</f>
        <v>#VALUE!</v>
      </c>
      <c r="BE606" s="11">
        <f t="shared" si="32"/>
        <v>0</v>
      </c>
      <c r="BF606" s="11">
        <f t="shared" si="33"/>
        <v>0</v>
      </c>
      <c r="BH606" s="21" t="e">
        <f>Table1[[#This Row],[StartTime]]+$BG$2</f>
        <v>#VALUE!</v>
      </c>
    </row>
    <row r="607" spans="3:60" x14ac:dyDescent="0.25">
      <c r="C607" s="35"/>
      <c r="G607" s="1"/>
      <c r="H607" s="1"/>
      <c r="I607" s="1"/>
      <c r="J607" s="1"/>
      <c r="K607" s="33"/>
      <c r="L607" s="22"/>
      <c r="M607" s="1"/>
      <c r="N607" s="1"/>
      <c r="O607" s="1"/>
      <c r="P607" s="1"/>
      <c r="Q607" s="1"/>
      <c r="R607" s="1"/>
      <c r="S607" s="1"/>
      <c r="BB607" s="9" t="str">
        <f t="shared" si="31"/>
        <v>Yes</v>
      </c>
      <c r="BC607" s="9" t="e">
        <f>IF(EFB!$N607=Table1[[#This Row],[ProgramTitle]],"Yes","No")</f>
        <v>#VALUE!</v>
      </c>
      <c r="BD607" s="9" t="e">
        <f>IF(EFB!$S607=Table1[[#This Row],[SeriesEpisodeTitle]],"Yes","No")</f>
        <v>#VALUE!</v>
      </c>
      <c r="BE607" s="11">
        <f t="shared" si="32"/>
        <v>0</v>
      </c>
      <c r="BF607" s="11">
        <f t="shared" si="33"/>
        <v>0</v>
      </c>
      <c r="BH607" s="21" t="e">
        <f>Table1[[#This Row],[StartTime]]+$BG$2</f>
        <v>#VALUE!</v>
      </c>
    </row>
    <row r="608" spans="3:60" x14ac:dyDescent="0.25">
      <c r="C608" s="35"/>
      <c r="G608" s="1"/>
      <c r="H608" s="1"/>
      <c r="I608" s="1"/>
      <c r="J608" s="1"/>
      <c r="K608" s="33"/>
      <c r="L608" s="22"/>
      <c r="M608" s="1"/>
      <c r="N608" s="1"/>
      <c r="O608" s="1"/>
      <c r="P608" s="1"/>
      <c r="Q608" s="1"/>
      <c r="R608" s="1"/>
      <c r="S608" s="1"/>
      <c r="BB608" s="9" t="str">
        <f t="shared" si="31"/>
        <v>Yes</v>
      </c>
      <c r="BC608" s="9" t="e">
        <f>IF(EFB!$N608=Table1[[#This Row],[ProgramTitle]],"Yes","No")</f>
        <v>#VALUE!</v>
      </c>
      <c r="BD608" s="9" t="e">
        <f>IF(EFB!$S608=Table1[[#This Row],[SeriesEpisodeTitle]],"Yes","No")</f>
        <v>#VALUE!</v>
      </c>
      <c r="BE608" s="11">
        <f t="shared" si="32"/>
        <v>0</v>
      </c>
      <c r="BF608" s="11">
        <f t="shared" si="33"/>
        <v>0</v>
      </c>
      <c r="BH608" s="21" t="e">
        <f>Table1[[#This Row],[StartTime]]+$BG$2</f>
        <v>#VALUE!</v>
      </c>
    </row>
    <row r="609" spans="3:60" x14ac:dyDescent="0.25">
      <c r="C609" s="35"/>
      <c r="G609" s="1"/>
      <c r="H609" s="1"/>
      <c r="I609" s="1"/>
      <c r="J609" s="1"/>
      <c r="K609" s="33"/>
      <c r="L609" s="22"/>
      <c r="M609" s="1"/>
      <c r="N609" s="1"/>
      <c r="O609" s="1"/>
      <c r="P609" s="1"/>
      <c r="Q609" s="1"/>
      <c r="R609" s="1"/>
      <c r="S609" s="1"/>
      <c r="BB609" s="9" t="str">
        <f t="shared" si="31"/>
        <v>Yes</v>
      </c>
      <c r="BC609" s="9" t="e">
        <f>IF(EFB!$N609=Table1[[#This Row],[ProgramTitle]],"Yes","No")</f>
        <v>#VALUE!</v>
      </c>
      <c r="BD609" s="9" t="e">
        <f>IF(EFB!$S609=Table1[[#This Row],[SeriesEpisodeTitle]],"Yes","No")</f>
        <v>#VALUE!</v>
      </c>
      <c r="BE609" s="11">
        <f t="shared" si="32"/>
        <v>0</v>
      </c>
      <c r="BF609" s="11">
        <f t="shared" si="33"/>
        <v>0</v>
      </c>
      <c r="BH609" s="21" t="e">
        <f>Table1[[#This Row],[StartTime]]+$BG$2</f>
        <v>#VALUE!</v>
      </c>
    </row>
    <row r="610" spans="3:60" x14ac:dyDescent="0.25">
      <c r="C610" s="35"/>
      <c r="G610" s="1"/>
      <c r="H610" s="1"/>
      <c r="I610" s="1"/>
      <c r="J610" s="1"/>
      <c r="K610" s="33"/>
      <c r="L610" s="22"/>
      <c r="M610" s="1"/>
      <c r="N610" s="1"/>
      <c r="O610" s="1"/>
      <c r="P610" s="1"/>
      <c r="Q610" s="1"/>
      <c r="R610" s="1"/>
      <c r="S610" s="1"/>
      <c r="BB610" s="9" t="str">
        <f t="shared" si="31"/>
        <v>Yes</v>
      </c>
      <c r="BC610" s="9" t="e">
        <f>IF(EFB!$N610=Table1[[#This Row],[ProgramTitle]],"Yes","No")</f>
        <v>#VALUE!</v>
      </c>
      <c r="BD610" s="9" t="e">
        <f>IF(EFB!$S610=Table1[[#This Row],[SeriesEpisodeTitle]],"Yes","No")</f>
        <v>#VALUE!</v>
      </c>
      <c r="BE610" s="11">
        <f t="shared" si="32"/>
        <v>0</v>
      </c>
      <c r="BF610" s="11">
        <f t="shared" si="33"/>
        <v>0</v>
      </c>
      <c r="BH610" s="21" t="e">
        <f>Table1[[#This Row],[StartTime]]+$BG$2</f>
        <v>#VALUE!</v>
      </c>
    </row>
    <row r="611" spans="3:60" x14ac:dyDescent="0.25">
      <c r="C611" s="35"/>
      <c r="G611" s="1"/>
      <c r="H611" s="1"/>
      <c r="I611" s="1"/>
      <c r="J611" s="1"/>
      <c r="K611" s="33"/>
      <c r="L611" s="22"/>
      <c r="M611" s="1"/>
      <c r="N611" s="1"/>
      <c r="O611" s="1"/>
      <c r="P611" s="1"/>
      <c r="Q611" s="1"/>
      <c r="R611" s="1"/>
      <c r="S611" s="1"/>
      <c r="BB611" s="9" t="str">
        <f t="shared" si="31"/>
        <v>Yes</v>
      </c>
      <c r="BC611" s="9" t="e">
        <f>IF(EFB!$N611=Table1[[#This Row],[ProgramTitle]],"Yes","No")</f>
        <v>#VALUE!</v>
      </c>
      <c r="BD611" s="9" t="e">
        <f>IF(EFB!$S611=Table1[[#This Row],[SeriesEpisodeTitle]],"Yes","No")</f>
        <v>#VALUE!</v>
      </c>
      <c r="BE611" s="11">
        <f t="shared" si="32"/>
        <v>0</v>
      </c>
      <c r="BF611" s="11">
        <f t="shared" si="33"/>
        <v>0</v>
      </c>
      <c r="BH611" s="21" t="e">
        <f>Table1[[#This Row],[StartTime]]+$BG$2</f>
        <v>#VALUE!</v>
      </c>
    </row>
    <row r="612" spans="3:60" x14ac:dyDescent="0.25">
      <c r="C612" s="35"/>
      <c r="G612" s="1"/>
      <c r="H612" s="1"/>
      <c r="I612" s="1"/>
      <c r="J612" s="1"/>
      <c r="K612" s="33"/>
      <c r="L612" s="22"/>
      <c r="M612" s="1"/>
      <c r="N612" s="1"/>
      <c r="O612" s="1"/>
      <c r="P612" s="1"/>
      <c r="Q612" s="1"/>
      <c r="R612" s="1"/>
      <c r="S612" s="1"/>
      <c r="BB612" s="9" t="str">
        <f t="shared" si="31"/>
        <v>Yes</v>
      </c>
      <c r="BC612" s="9" t="e">
        <f>IF(EFB!$N612=Table1[[#This Row],[ProgramTitle]],"Yes","No")</f>
        <v>#VALUE!</v>
      </c>
      <c r="BD612" s="9" t="e">
        <f>IF(EFB!$S612=Table1[[#This Row],[SeriesEpisodeTitle]],"Yes","No")</f>
        <v>#VALUE!</v>
      </c>
      <c r="BE612" s="11">
        <f t="shared" si="32"/>
        <v>0</v>
      </c>
      <c r="BF612" s="11">
        <f t="shared" si="33"/>
        <v>0</v>
      </c>
      <c r="BH612" s="21" t="e">
        <f>Table1[[#This Row],[StartTime]]+$BG$2</f>
        <v>#VALUE!</v>
      </c>
    </row>
    <row r="613" spans="3:60" x14ac:dyDescent="0.25">
      <c r="C613" s="35"/>
      <c r="G613" s="1"/>
      <c r="H613" s="1"/>
      <c r="I613" s="1"/>
      <c r="J613" s="1"/>
      <c r="K613" s="33"/>
      <c r="L613" s="22"/>
      <c r="M613" s="1"/>
      <c r="N613" s="1"/>
      <c r="O613" s="1"/>
      <c r="P613" s="1"/>
      <c r="Q613" s="1"/>
      <c r="R613" s="1"/>
      <c r="S613" s="1"/>
      <c r="BB613" s="9" t="str">
        <f t="shared" si="31"/>
        <v>Yes</v>
      </c>
      <c r="BC613" s="9" t="e">
        <f>IF(EFB!$N613=Table1[[#This Row],[ProgramTitle]],"Yes","No")</f>
        <v>#VALUE!</v>
      </c>
      <c r="BD613" s="9" t="e">
        <f>IF(EFB!$S613=Table1[[#This Row],[SeriesEpisodeTitle]],"Yes","No")</f>
        <v>#VALUE!</v>
      </c>
      <c r="BE613" s="11">
        <f t="shared" si="32"/>
        <v>0</v>
      </c>
      <c r="BF613" s="11">
        <f t="shared" si="33"/>
        <v>0</v>
      </c>
      <c r="BH613" s="21" t="e">
        <f>Table1[[#This Row],[StartTime]]+$BG$2</f>
        <v>#VALUE!</v>
      </c>
    </row>
    <row r="614" spans="3:60" x14ac:dyDescent="0.25">
      <c r="C614" s="35"/>
      <c r="G614" s="1"/>
      <c r="H614" s="1"/>
      <c r="I614" s="1"/>
      <c r="J614" s="1"/>
      <c r="K614" s="33"/>
      <c r="L614" s="22"/>
      <c r="M614" s="1"/>
      <c r="N614" s="1"/>
      <c r="O614" s="1"/>
      <c r="P614" s="1"/>
      <c r="Q614" s="1"/>
      <c r="R614" s="1"/>
      <c r="S614" s="1"/>
      <c r="BB614" s="9" t="str">
        <f t="shared" si="31"/>
        <v>Yes</v>
      </c>
      <c r="BC614" s="9" t="e">
        <f>IF(EFB!$N614=Table1[[#This Row],[ProgramTitle]],"Yes","No")</f>
        <v>#VALUE!</v>
      </c>
      <c r="BD614" s="9" t="e">
        <f>IF(EFB!$S614=Table1[[#This Row],[SeriesEpisodeTitle]],"Yes","No")</f>
        <v>#VALUE!</v>
      </c>
      <c r="BE614" s="11">
        <f t="shared" si="32"/>
        <v>0</v>
      </c>
      <c r="BF614" s="11">
        <f t="shared" si="33"/>
        <v>0</v>
      </c>
      <c r="BH614" s="21" t="e">
        <f>Table1[[#This Row],[StartTime]]+$BG$2</f>
        <v>#VALUE!</v>
      </c>
    </row>
    <row r="615" spans="3:60" x14ac:dyDescent="0.25">
      <c r="C615" s="35"/>
      <c r="G615" s="1"/>
      <c r="H615" s="1"/>
      <c r="I615" s="1"/>
      <c r="J615" s="1"/>
      <c r="K615" s="33"/>
      <c r="L615" s="22"/>
      <c r="M615" s="1"/>
      <c r="N615" s="1"/>
      <c r="O615" s="1"/>
      <c r="P615" s="1"/>
      <c r="Q615" s="1"/>
      <c r="R615" s="1"/>
      <c r="S615" s="1"/>
      <c r="BB615" s="9" t="str">
        <f t="shared" si="31"/>
        <v>Yes</v>
      </c>
      <c r="BC615" s="9" t="e">
        <f>IF(EFB!$N615=Table1[[#This Row],[ProgramTitle]],"Yes","No")</f>
        <v>#VALUE!</v>
      </c>
      <c r="BD615" s="9" t="e">
        <f>IF(EFB!$S615=Table1[[#This Row],[SeriesEpisodeTitle]],"Yes","No")</f>
        <v>#VALUE!</v>
      </c>
      <c r="BE615" s="11">
        <f t="shared" si="32"/>
        <v>0</v>
      </c>
      <c r="BF615" s="11">
        <f t="shared" si="33"/>
        <v>0</v>
      </c>
      <c r="BH615" s="21" t="e">
        <f>Table1[[#This Row],[StartTime]]+$BG$2</f>
        <v>#VALUE!</v>
      </c>
    </row>
    <row r="616" spans="3:60" x14ac:dyDescent="0.25">
      <c r="C616" s="35"/>
      <c r="G616" s="1"/>
      <c r="H616" s="1"/>
      <c r="I616" s="1"/>
      <c r="J616" s="1"/>
      <c r="K616" s="33"/>
      <c r="L616" s="22"/>
      <c r="M616" s="1"/>
      <c r="N616" s="1"/>
      <c r="O616" s="1"/>
      <c r="P616" s="1"/>
      <c r="Q616" s="1"/>
      <c r="R616" s="1"/>
      <c r="S616" s="1"/>
      <c r="BB616" s="9" t="str">
        <f t="shared" si="31"/>
        <v>Yes</v>
      </c>
      <c r="BC616" s="9" t="e">
        <f>IF(EFB!$N616=Table1[[#This Row],[ProgramTitle]],"Yes","No")</f>
        <v>#VALUE!</v>
      </c>
      <c r="BD616" s="9" t="e">
        <f>IF(EFB!$S616=Table1[[#This Row],[SeriesEpisodeTitle]],"Yes","No")</f>
        <v>#VALUE!</v>
      </c>
      <c r="BE616" s="11">
        <f t="shared" si="32"/>
        <v>0</v>
      </c>
      <c r="BF616" s="11">
        <f t="shared" si="33"/>
        <v>0</v>
      </c>
      <c r="BH616" s="21" t="e">
        <f>Table1[[#This Row],[StartTime]]+$BG$2</f>
        <v>#VALUE!</v>
      </c>
    </row>
    <row r="617" spans="3:60" x14ac:dyDescent="0.25">
      <c r="C617" s="35"/>
      <c r="G617" s="1"/>
      <c r="H617" s="1"/>
      <c r="I617" s="1"/>
      <c r="J617" s="1"/>
      <c r="K617" s="33"/>
      <c r="L617" s="22"/>
      <c r="M617" s="1"/>
      <c r="N617" s="1"/>
      <c r="O617" s="1"/>
      <c r="P617" s="1"/>
      <c r="Q617" s="1"/>
      <c r="R617" s="1"/>
      <c r="S617" s="1"/>
      <c r="BB617" s="9" t="str">
        <f t="shared" si="31"/>
        <v>Yes</v>
      </c>
      <c r="BC617" s="9" t="e">
        <f>IF(EFB!$N617=Table1[[#This Row],[ProgramTitle]],"Yes","No")</f>
        <v>#VALUE!</v>
      </c>
      <c r="BD617" s="9" t="e">
        <f>IF(EFB!$S617=Table1[[#This Row],[SeriesEpisodeTitle]],"Yes","No")</f>
        <v>#VALUE!</v>
      </c>
      <c r="BE617" s="11">
        <f t="shared" si="32"/>
        <v>0</v>
      </c>
      <c r="BF617" s="11">
        <f t="shared" si="33"/>
        <v>0</v>
      </c>
      <c r="BH617" s="21" t="e">
        <f>Table1[[#This Row],[StartTime]]+$BG$2</f>
        <v>#VALUE!</v>
      </c>
    </row>
    <row r="618" spans="3:60" x14ac:dyDescent="0.25">
      <c r="C618" s="35"/>
      <c r="G618" s="1"/>
      <c r="H618" s="1"/>
      <c r="I618" s="1"/>
      <c r="J618" s="1"/>
      <c r="K618" s="33"/>
      <c r="L618" s="22"/>
      <c r="M618" s="1"/>
      <c r="N618" s="1"/>
      <c r="O618" s="1"/>
      <c r="P618" s="1"/>
      <c r="Q618" s="1"/>
      <c r="R618" s="1"/>
      <c r="S618" s="1"/>
      <c r="BB618" s="9" t="str">
        <f t="shared" si="31"/>
        <v>Yes</v>
      </c>
      <c r="BC618" s="9" t="e">
        <f>IF(EFB!$N618=Table1[[#This Row],[ProgramTitle]],"Yes","No")</f>
        <v>#VALUE!</v>
      </c>
      <c r="BD618" s="9" t="e">
        <f>IF(EFB!$S618=Table1[[#This Row],[SeriesEpisodeTitle]],"Yes","No")</f>
        <v>#VALUE!</v>
      </c>
      <c r="BE618" s="11">
        <f t="shared" si="32"/>
        <v>0</v>
      </c>
      <c r="BF618" s="11">
        <f t="shared" si="33"/>
        <v>0</v>
      </c>
      <c r="BH618" s="21" t="e">
        <f>Table1[[#This Row],[StartTime]]+$BG$2</f>
        <v>#VALUE!</v>
      </c>
    </row>
    <row r="619" spans="3:60" x14ac:dyDescent="0.25">
      <c r="C619" s="35"/>
      <c r="G619" s="1"/>
      <c r="H619" s="1"/>
      <c r="I619" s="1"/>
      <c r="J619" s="1"/>
      <c r="K619" s="33"/>
      <c r="L619" s="22"/>
      <c r="M619" s="1"/>
      <c r="N619" s="1"/>
      <c r="O619" s="1"/>
      <c r="P619" s="1"/>
      <c r="Q619" s="1"/>
      <c r="R619" s="1"/>
      <c r="S619" s="1"/>
      <c r="BB619" s="9" t="str">
        <f t="shared" si="31"/>
        <v>Yes</v>
      </c>
      <c r="BC619" s="9" t="e">
        <f>IF(EFB!$N619=Table1[[#This Row],[ProgramTitle]],"Yes","No")</f>
        <v>#VALUE!</v>
      </c>
      <c r="BD619" s="9" t="e">
        <f>IF(EFB!$S619=Table1[[#This Row],[SeriesEpisodeTitle]],"Yes","No")</f>
        <v>#VALUE!</v>
      </c>
      <c r="BE619" s="11">
        <f t="shared" si="32"/>
        <v>0</v>
      </c>
      <c r="BF619" s="11">
        <f t="shared" si="33"/>
        <v>0</v>
      </c>
      <c r="BH619" s="21" t="e">
        <f>Table1[[#This Row],[StartTime]]+$BG$2</f>
        <v>#VALUE!</v>
      </c>
    </row>
    <row r="620" spans="3:60" x14ac:dyDescent="0.25">
      <c r="C620" s="35"/>
      <c r="G620" s="1"/>
      <c r="H620" s="1"/>
      <c r="I620" s="1"/>
      <c r="J620" s="1"/>
      <c r="K620" s="33"/>
      <c r="L620" s="22"/>
      <c r="M620" s="1"/>
      <c r="N620" s="1"/>
      <c r="O620" s="1"/>
      <c r="P620" s="1"/>
      <c r="Q620" s="1"/>
      <c r="R620" s="1"/>
      <c r="S620" s="1"/>
      <c r="BB620" s="9" t="str">
        <f t="shared" si="31"/>
        <v>Yes</v>
      </c>
      <c r="BC620" s="9" t="e">
        <f>IF(EFB!$N620=Table1[[#This Row],[ProgramTitle]],"Yes","No")</f>
        <v>#VALUE!</v>
      </c>
      <c r="BD620" s="9" t="e">
        <f>IF(EFB!$S620=Table1[[#This Row],[SeriesEpisodeTitle]],"Yes","No")</f>
        <v>#VALUE!</v>
      </c>
      <c r="BE620" s="11">
        <f t="shared" si="32"/>
        <v>0</v>
      </c>
      <c r="BF620" s="11">
        <f t="shared" si="33"/>
        <v>0</v>
      </c>
      <c r="BH620" s="21" t="e">
        <f>Table1[[#This Row],[StartTime]]+$BG$2</f>
        <v>#VALUE!</v>
      </c>
    </row>
    <row r="621" spans="3:60" x14ac:dyDescent="0.25">
      <c r="C621" s="35"/>
      <c r="G621" s="1"/>
      <c r="H621" s="1"/>
      <c r="I621" s="1"/>
      <c r="J621" s="1"/>
      <c r="K621" s="33"/>
      <c r="L621" s="22"/>
      <c r="M621" s="1"/>
      <c r="N621" s="1"/>
      <c r="O621" s="1"/>
      <c r="P621" s="1"/>
      <c r="Q621" s="1"/>
      <c r="R621" s="1"/>
      <c r="S621" s="1"/>
      <c r="BB621" s="9" t="str">
        <f t="shared" si="31"/>
        <v>Yes</v>
      </c>
      <c r="BC621" s="9" t="e">
        <f>IF(EFB!$N621=Table1[[#This Row],[ProgramTitle]],"Yes","No")</f>
        <v>#VALUE!</v>
      </c>
      <c r="BD621" s="9" t="e">
        <f>IF(EFB!$S621=Table1[[#This Row],[SeriesEpisodeTitle]],"Yes","No")</f>
        <v>#VALUE!</v>
      </c>
      <c r="BE621" s="11">
        <f t="shared" si="32"/>
        <v>0</v>
      </c>
      <c r="BF621" s="11">
        <f t="shared" si="33"/>
        <v>0</v>
      </c>
      <c r="BH621" s="21" t="e">
        <f>Table1[[#This Row],[StartTime]]+$BG$2</f>
        <v>#VALUE!</v>
      </c>
    </row>
    <row r="622" spans="3:60" x14ac:dyDescent="0.25">
      <c r="C622" s="35"/>
      <c r="G622" s="1"/>
      <c r="H622" s="1"/>
      <c r="I622" s="1"/>
      <c r="J622" s="1"/>
      <c r="K622" s="33"/>
      <c r="L622" s="22"/>
      <c r="M622" s="1"/>
      <c r="N622" s="1"/>
      <c r="O622" s="1"/>
      <c r="P622" s="1"/>
      <c r="Q622" s="1"/>
      <c r="R622" s="1"/>
      <c r="S622" s="1"/>
      <c r="BB622" s="9" t="str">
        <f t="shared" si="31"/>
        <v>Yes</v>
      </c>
      <c r="BC622" s="9" t="e">
        <f>IF(EFB!$N622=Table1[[#This Row],[ProgramTitle]],"Yes","No")</f>
        <v>#VALUE!</v>
      </c>
      <c r="BD622" s="9" t="e">
        <f>IF(EFB!$S622=Table1[[#This Row],[SeriesEpisodeTitle]],"Yes","No")</f>
        <v>#VALUE!</v>
      </c>
      <c r="BE622" s="11">
        <f t="shared" si="32"/>
        <v>0</v>
      </c>
      <c r="BF622" s="11">
        <f t="shared" si="33"/>
        <v>0</v>
      </c>
      <c r="BH622" s="21" t="e">
        <f>Table1[[#This Row],[StartTime]]+$BG$2</f>
        <v>#VALUE!</v>
      </c>
    </row>
    <row r="623" spans="3:60" x14ac:dyDescent="0.25">
      <c r="C623" s="35"/>
      <c r="G623" s="1"/>
      <c r="H623" s="1"/>
      <c r="I623" s="1"/>
      <c r="J623" s="1"/>
      <c r="K623" s="33"/>
      <c r="L623" s="22"/>
      <c r="M623" s="1"/>
      <c r="N623" s="1"/>
      <c r="O623" s="1"/>
      <c r="P623" s="1"/>
      <c r="Q623" s="1"/>
      <c r="R623" s="1"/>
      <c r="S623" s="1"/>
      <c r="BB623" s="9" t="str">
        <f t="shared" ref="BB623:BB686" si="34">IF(BE623=BF623,"Yes","No")</f>
        <v>Yes</v>
      </c>
      <c r="BC623" s="9" t="e">
        <f>IF(EFB!$N623=Table1[[#This Row],[ProgramTitle]],"Yes","No")</f>
        <v>#VALUE!</v>
      </c>
      <c r="BD623" s="9" t="e">
        <f>IF(EFB!$S623=Table1[[#This Row],[SeriesEpisodeTitle]],"Yes","No")</f>
        <v>#VALUE!</v>
      </c>
      <c r="BE623" s="11">
        <f t="shared" ref="BE623:BE650" si="35">TIME(HOUR(C623),MINUTE(C623),SECOND(0))</f>
        <v>0</v>
      </c>
      <c r="BF623" s="11">
        <f t="shared" ref="BF623:BF650" si="36">TIME(HOUR(L623),MINUTE(L623),SECOND(0))</f>
        <v>0</v>
      </c>
      <c r="BH623" s="21" t="e">
        <f>Table1[[#This Row],[StartTime]]+$BG$2</f>
        <v>#VALUE!</v>
      </c>
    </row>
    <row r="624" spans="3:60" x14ac:dyDescent="0.25">
      <c r="C624" s="35"/>
      <c r="G624" s="1"/>
      <c r="H624" s="1"/>
      <c r="I624" s="1"/>
      <c r="J624" s="1"/>
      <c r="K624" s="33"/>
      <c r="L624" s="22"/>
      <c r="M624" s="1"/>
      <c r="N624" s="1"/>
      <c r="O624" s="1"/>
      <c r="P624" s="1"/>
      <c r="Q624" s="1"/>
      <c r="R624" s="1"/>
      <c r="S624" s="1"/>
      <c r="BB624" s="9" t="str">
        <f t="shared" si="34"/>
        <v>Yes</v>
      </c>
      <c r="BC624" s="9" t="e">
        <f>IF(EFB!$N624=Table1[[#This Row],[ProgramTitle]],"Yes","No")</f>
        <v>#VALUE!</v>
      </c>
      <c r="BD624" s="9" t="e">
        <f>IF(EFB!$S624=Table1[[#This Row],[SeriesEpisodeTitle]],"Yes","No")</f>
        <v>#VALUE!</v>
      </c>
      <c r="BE624" s="11">
        <f t="shared" si="35"/>
        <v>0</v>
      </c>
      <c r="BF624" s="11">
        <f t="shared" si="36"/>
        <v>0</v>
      </c>
      <c r="BH624" s="21" t="e">
        <f>Table1[[#This Row],[StartTime]]+$BG$2</f>
        <v>#VALUE!</v>
      </c>
    </row>
    <row r="625" spans="3:60" x14ac:dyDescent="0.25">
      <c r="C625" s="35"/>
      <c r="G625" s="1"/>
      <c r="H625" s="1"/>
      <c r="I625" s="1"/>
      <c r="J625" s="1"/>
      <c r="K625" s="33"/>
      <c r="L625" s="22"/>
      <c r="M625" s="1"/>
      <c r="N625" s="1"/>
      <c r="O625" s="1"/>
      <c r="P625" s="1"/>
      <c r="Q625" s="1"/>
      <c r="R625" s="1"/>
      <c r="S625" s="1"/>
      <c r="BB625" s="9" t="str">
        <f t="shared" si="34"/>
        <v>Yes</v>
      </c>
      <c r="BC625" s="9" t="e">
        <f>IF(EFB!$N625=Table1[[#This Row],[ProgramTitle]],"Yes","No")</f>
        <v>#VALUE!</v>
      </c>
      <c r="BD625" s="9" t="e">
        <f>IF(EFB!$S625=Table1[[#This Row],[SeriesEpisodeTitle]],"Yes","No")</f>
        <v>#VALUE!</v>
      </c>
      <c r="BE625" s="11">
        <f t="shared" si="35"/>
        <v>0</v>
      </c>
      <c r="BF625" s="11">
        <f t="shared" si="36"/>
        <v>0</v>
      </c>
      <c r="BH625" s="21" t="e">
        <f>Table1[[#This Row],[StartTime]]+$BG$2</f>
        <v>#VALUE!</v>
      </c>
    </row>
    <row r="626" spans="3:60" x14ac:dyDescent="0.25">
      <c r="C626" s="35"/>
      <c r="G626" s="1"/>
      <c r="H626" s="1"/>
      <c r="I626" s="1"/>
      <c r="J626" s="1"/>
      <c r="K626" s="33"/>
      <c r="L626" s="22"/>
      <c r="M626" s="1"/>
      <c r="N626" s="1"/>
      <c r="O626" s="1"/>
      <c r="P626" s="1"/>
      <c r="Q626" s="1"/>
      <c r="R626" s="1"/>
      <c r="S626" s="1"/>
      <c r="BB626" s="9" t="str">
        <f t="shared" si="34"/>
        <v>Yes</v>
      </c>
      <c r="BC626" s="9" t="e">
        <f>IF(EFB!$N626=Table1[[#This Row],[ProgramTitle]],"Yes","No")</f>
        <v>#VALUE!</v>
      </c>
      <c r="BD626" s="9" t="e">
        <f>IF(EFB!$S626=Table1[[#This Row],[SeriesEpisodeTitle]],"Yes","No")</f>
        <v>#VALUE!</v>
      </c>
      <c r="BE626" s="11">
        <f t="shared" si="35"/>
        <v>0</v>
      </c>
      <c r="BF626" s="11">
        <f t="shared" si="36"/>
        <v>0</v>
      </c>
      <c r="BH626" s="21" t="e">
        <f>Table1[[#This Row],[StartTime]]+$BG$2</f>
        <v>#VALUE!</v>
      </c>
    </row>
    <row r="627" spans="3:60" x14ac:dyDescent="0.25">
      <c r="C627" s="35"/>
      <c r="G627" s="1"/>
      <c r="H627" s="1"/>
      <c r="I627" s="1"/>
      <c r="J627" s="1"/>
      <c r="K627" s="33"/>
      <c r="L627" s="22"/>
      <c r="M627" s="1"/>
      <c r="N627" s="1"/>
      <c r="O627" s="1"/>
      <c r="P627" s="1"/>
      <c r="Q627" s="1"/>
      <c r="R627" s="1"/>
      <c r="S627" s="1"/>
      <c r="BB627" s="9" t="str">
        <f t="shared" si="34"/>
        <v>Yes</v>
      </c>
      <c r="BC627" s="9" t="e">
        <f>IF(EFB!$N627=Table1[[#This Row],[ProgramTitle]],"Yes","No")</f>
        <v>#VALUE!</v>
      </c>
      <c r="BD627" s="9" t="e">
        <f>IF(EFB!$S627=Table1[[#This Row],[SeriesEpisodeTitle]],"Yes","No")</f>
        <v>#VALUE!</v>
      </c>
      <c r="BE627" s="11">
        <f t="shared" si="35"/>
        <v>0</v>
      </c>
      <c r="BF627" s="11">
        <f t="shared" si="36"/>
        <v>0</v>
      </c>
      <c r="BH627" s="21" t="e">
        <f>Table1[[#This Row],[StartTime]]+$BG$2</f>
        <v>#VALUE!</v>
      </c>
    </row>
    <row r="628" spans="3:60" x14ac:dyDescent="0.25">
      <c r="C628" s="35"/>
      <c r="G628" s="1"/>
      <c r="H628" s="1"/>
      <c r="I628" s="1"/>
      <c r="J628" s="1"/>
      <c r="K628" s="33"/>
      <c r="L628" s="22"/>
      <c r="M628" s="1"/>
      <c r="N628" s="1"/>
      <c r="O628" s="1"/>
      <c r="P628" s="1"/>
      <c r="Q628" s="1"/>
      <c r="R628" s="1"/>
      <c r="S628" s="1"/>
      <c r="BB628" s="9" t="str">
        <f t="shared" si="34"/>
        <v>Yes</v>
      </c>
      <c r="BC628" s="9" t="e">
        <f>IF(EFB!$N628=Table1[[#This Row],[ProgramTitle]],"Yes","No")</f>
        <v>#VALUE!</v>
      </c>
      <c r="BD628" s="9" t="e">
        <f>IF(EFB!$S628=Table1[[#This Row],[SeriesEpisodeTitle]],"Yes","No")</f>
        <v>#VALUE!</v>
      </c>
      <c r="BE628" s="11">
        <f t="shared" si="35"/>
        <v>0</v>
      </c>
      <c r="BF628" s="11">
        <f t="shared" si="36"/>
        <v>0</v>
      </c>
      <c r="BH628" s="21" t="e">
        <f>Table1[[#This Row],[StartTime]]+$BG$2</f>
        <v>#VALUE!</v>
      </c>
    </row>
    <row r="629" spans="3:60" x14ac:dyDescent="0.25">
      <c r="C629" s="35"/>
      <c r="G629" s="1"/>
      <c r="H629" s="1"/>
      <c r="I629" s="1"/>
      <c r="J629" s="1"/>
      <c r="K629" s="33"/>
      <c r="L629" s="22"/>
      <c r="M629" s="1"/>
      <c r="N629" s="1"/>
      <c r="O629" s="1"/>
      <c r="P629" s="1"/>
      <c r="Q629" s="1"/>
      <c r="R629" s="1"/>
      <c r="S629" s="1"/>
      <c r="BB629" s="9" t="str">
        <f t="shared" si="34"/>
        <v>Yes</v>
      </c>
      <c r="BC629" s="9" t="e">
        <f>IF(EFB!$N629=Table1[[#This Row],[ProgramTitle]],"Yes","No")</f>
        <v>#VALUE!</v>
      </c>
      <c r="BD629" s="9" t="e">
        <f>IF(EFB!$S629=Table1[[#This Row],[SeriesEpisodeTitle]],"Yes","No")</f>
        <v>#VALUE!</v>
      </c>
      <c r="BE629" s="11">
        <f t="shared" si="35"/>
        <v>0</v>
      </c>
      <c r="BF629" s="11">
        <f t="shared" si="36"/>
        <v>0</v>
      </c>
      <c r="BH629" s="21" t="e">
        <f>Table1[[#This Row],[StartTime]]+$BG$2</f>
        <v>#VALUE!</v>
      </c>
    </row>
    <row r="630" spans="3:60" x14ac:dyDescent="0.25">
      <c r="C630" s="35"/>
      <c r="G630" s="1"/>
      <c r="H630" s="1"/>
      <c r="I630" s="1"/>
      <c r="J630" s="1"/>
      <c r="K630" s="33"/>
      <c r="L630" s="22"/>
      <c r="M630" s="1"/>
      <c r="N630" s="1"/>
      <c r="O630" s="1"/>
      <c r="P630" s="1"/>
      <c r="Q630" s="1"/>
      <c r="R630" s="1"/>
      <c r="S630" s="1"/>
      <c r="BB630" s="9" t="str">
        <f t="shared" si="34"/>
        <v>Yes</v>
      </c>
      <c r="BC630" s="9" t="e">
        <f>IF(EFB!$N630=Table1[[#This Row],[ProgramTitle]],"Yes","No")</f>
        <v>#VALUE!</v>
      </c>
      <c r="BD630" s="9" t="e">
        <f>IF(EFB!$S630=Table1[[#This Row],[SeriesEpisodeTitle]],"Yes","No")</f>
        <v>#VALUE!</v>
      </c>
      <c r="BE630" s="11">
        <f t="shared" si="35"/>
        <v>0</v>
      </c>
      <c r="BF630" s="11">
        <f t="shared" si="36"/>
        <v>0</v>
      </c>
      <c r="BH630" s="21" t="e">
        <f>Table1[[#This Row],[StartTime]]+$BG$2</f>
        <v>#VALUE!</v>
      </c>
    </row>
    <row r="631" spans="3:60" x14ac:dyDescent="0.25">
      <c r="C631" s="35"/>
      <c r="G631" s="1"/>
      <c r="H631" s="1"/>
      <c r="I631" s="1"/>
      <c r="J631" s="1"/>
      <c r="K631" s="33"/>
      <c r="L631" s="22"/>
      <c r="M631" s="1"/>
      <c r="N631" s="1"/>
      <c r="O631" s="1"/>
      <c r="P631" s="1"/>
      <c r="Q631" s="1"/>
      <c r="R631" s="1"/>
      <c r="S631" s="1"/>
      <c r="BB631" s="9" t="str">
        <f t="shared" si="34"/>
        <v>Yes</v>
      </c>
      <c r="BC631" s="9" t="e">
        <f>IF(EFB!$N631=Table1[[#This Row],[ProgramTitle]],"Yes","No")</f>
        <v>#VALUE!</v>
      </c>
      <c r="BD631" s="9" t="e">
        <f>IF(EFB!$S631=Table1[[#This Row],[SeriesEpisodeTitle]],"Yes","No")</f>
        <v>#VALUE!</v>
      </c>
      <c r="BE631" s="11">
        <f t="shared" si="35"/>
        <v>0</v>
      </c>
      <c r="BF631" s="11">
        <f t="shared" si="36"/>
        <v>0</v>
      </c>
      <c r="BH631" s="21" t="e">
        <f>Table1[[#This Row],[StartTime]]+$BG$2</f>
        <v>#VALUE!</v>
      </c>
    </row>
    <row r="632" spans="3:60" x14ac:dyDescent="0.25">
      <c r="C632" s="35"/>
      <c r="L632" s="22"/>
      <c r="BB632" s="9" t="str">
        <f t="shared" si="34"/>
        <v>Yes</v>
      </c>
      <c r="BC632" s="9" t="e">
        <f>IF(EFB!$N632=Table1[[#This Row],[ProgramTitle]],"Yes","No")</f>
        <v>#VALUE!</v>
      </c>
      <c r="BD632" s="9" t="e">
        <f>IF(EFB!$S632=Table1[[#This Row],[SeriesEpisodeTitle]],"Yes","No")</f>
        <v>#VALUE!</v>
      </c>
      <c r="BE632" s="11">
        <f t="shared" si="35"/>
        <v>0</v>
      </c>
      <c r="BF632" s="11">
        <f t="shared" si="36"/>
        <v>0</v>
      </c>
      <c r="BH632" s="21" t="e">
        <f>Table1[[#This Row],[StartTime]]+$BG$2</f>
        <v>#VALUE!</v>
      </c>
    </row>
    <row r="633" spans="3:60" x14ac:dyDescent="0.25">
      <c r="C633" s="35"/>
      <c r="G633" s="38"/>
      <c r="H633" s="38"/>
      <c r="I633" s="38"/>
      <c r="J633" s="38"/>
      <c r="K633" s="38"/>
      <c r="L633" s="22"/>
      <c r="M633" s="38"/>
      <c r="N633" s="38"/>
      <c r="O633" s="38"/>
      <c r="P633" s="38"/>
      <c r="Q633" s="38"/>
      <c r="R633" s="38"/>
      <c r="S633" s="38"/>
      <c r="BB633" s="9" t="str">
        <f t="shared" si="34"/>
        <v>Yes</v>
      </c>
      <c r="BC633" s="9" t="e">
        <f>IF(EFB!$N633=Table1[[#This Row],[ProgramTitle]],"Yes","No")</f>
        <v>#VALUE!</v>
      </c>
      <c r="BD633" s="9" t="e">
        <f>IF(EFB!$S633=Table1[[#This Row],[SeriesEpisodeTitle]],"Yes","No")</f>
        <v>#VALUE!</v>
      </c>
      <c r="BE633" s="11">
        <f t="shared" si="35"/>
        <v>0</v>
      </c>
      <c r="BF633" s="11">
        <f t="shared" si="36"/>
        <v>0</v>
      </c>
      <c r="BH633" s="21" t="e">
        <f>Table1[[#This Row],[StartTime]]+$BG$2</f>
        <v>#VALUE!</v>
      </c>
    </row>
    <row r="634" spans="3:60" x14ac:dyDescent="0.25">
      <c r="C634" s="35"/>
      <c r="L634" s="22"/>
      <c r="BB634" s="9" t="str">
        <f t="shared" si="34"/>
        <v>Yes</v>
      </c>
      <c r="BC634" s="9" t="e">
        <f>IF(EFB!$N634=Table1[[#This Row],[ProgramTitle]],"Yes","No")</f>
        <v>#VALUE!</v>
      </c>
      <c r="BD634" s="9" t="e">
        <f>IF(EFB!$S634=Table1[[#This Row],[SeriesEpisodeTitle]],"Yes","No")</f>
        <v>#VALUE!</v>
      </c>
      <c r="BE634" s="11">
        <f t="shared" si="35"/>
        <v>0</v>
      </c>
      <c r="BF634" s="11">
        <f t="shared" si="36"/>
        <v>0</v>
      </c>
      <c r="BH634" s="21" t="e">
        <f>Table1[[#This Row],[StartTime]]+$BG$2</f>
        <v>#VALUE!</v>
      </c>
    </row>
    <row r="635" spans="3:60" x14ac:dyDescent="0.25">
      <c r="C635" s="35"/>
      <c r="G635" s="38"/>
      <c r="H635" s="38"/>
      <c r="I635" s="38"/>
      <c r="J635" s="38"/>
      <c r="K635" s="38"/>
      <c r="L635" s="22"/>
      <c r="M635" s="38"/>
      <c r="N635" s="38"/>
      <c r="O635" s="38"/>
      <c r="P635" s="38"/>
      <c r="Q635" s="38"/>
      <c r="R635" s="38"/>
      <c r="S635" s="38"/>
      <c r="BB635" s="9" t="str">
        <f t="shared" si="34"/>
        <v>Yes</v>
      </c>
      <c r="BC635" s="9" t="e">
        <f>IF(EFB!$N635=Table1[[#This Row],[ProgramTitle]],"Yes","No")</f>
        <v>#VALUE!</v>
      </c>
      <c r="BD635" s="9" t="e">
        <f>IF(EFB!$S635=Table1[[#This Row],[SeriesEpisodeTitle]],"Yes","No")</f>
        <v>#VALUE!</v>
      </c>
      <c r="BE635" s="11">
        <f t="shared" si="35"/>
        <v>0</v>
      </c>
      <c r="BF635" s="11">
        <f t="shared" si="36"/>
        <v>0</v>
      </c>
      <c r="BH635" s="21" t="e">
        <f>Table1[[#This Row],[StartTime]]+$BG$2</f>
        <v>#VALUE!</v>
      </c>
    </row>
    <row r="636" spans="3:60" x14ac:dyDescent="0.25">
      <c r="C636" s="35"/>
      <c r="L636" s="22"/>
      <c r="BB636" s="9" t="str">
        <f t="shared" si="34"/>
        <v>Yes</v>
      </c>
      <c r="BC636" s="9" t="e">
        <f>IF(EFB!$N636=Table1[[#This Row],[ProgramTitle]],"Yes","No")</f>
        <v>#VALUE!</v>
      </c>
      <c r="BD636" s="9" t="e">
        <f>IF(EFB!$S636=Table1[[#This Row],[SeriesEpisodeTitle]],"Yes","No")</f>
        <v>#VALUE!</v>
      </c>
      <c r="BE636" s="11">
        <f t="shared" si="35"/>
        <v>0</v>
      </c>
      <c r="BF636" s="11">
        <f t="shared" si="36"/>
        <v>0</v>
      </c>
      <c r="BH636" s="21" t="e">
        <f>Table1[[#This Row],[StartTime]]+$BG$2</f>
        <v>#VALUE!</v>
      </c>
    </row>
    <row r="637" spans="3:60" x14ac:dyDescent="0.25">
      <c r="C637" s="35"/>
      <c r="G637" s="38"/>
      <c r="H637" s="38"/>
      <c r="I637" s="38"/>
      <c r="J637" s="38"/>
      <c r="K637" s="38"/>
      <c r="L637" s="22"/>
      <c r="M637" s="38"/>
      <c r="N637" s="38"/>
      <c r="O637" s="38"/>
      <c r="P637" s="38"/>
      <c r="Q637" s="38"/>
      <c r="R637" s="38"/>
      <c r="S637" s="38"/>
      <c r="BB637" s="9" t="str">
        <f t="shared" si="34"/>
        <v>Yes</v>
      </c>
      <c r="BC637" s="9" t="e">
        <f>IF(EFB!$N637=Table1[[#This Row],[ProgramTitle]],"Yes","No")</f>
        <v>#VALUE!</v>
      </c>
      <c r="BD637" s="9" t="e">
        <f>IF(EFB!$S637=Table1[[#This Row],[SeriesEpisodeTitle]],"Yes","No")</f>
        <v>#VALUE!</v>
      </c>
      <c r="BE637" s="11">
        <f t="shared" si="35"/>
        <v>0</v>
      </c>
      <c r="BF637" s="11">
        <f t="shared" si="36"/>
        <v>0</v>
      </c>
      <c r="BH637" s="21" t="e">
        <f>Table1[[#This Row],[StartTime]]+$BG$2</f>
        <v>#VALUE!</v>
      </c>
    </row>
    <row r="638" spans="3:60" x14ac:dyDescent="0.25">
      <c r="C638" s="35"/>
      <c r="L638" s="22"/>
      <c r="BB638" s="9" t="str">
        <f t="shared" si="34"/>
        <v>Yes</v>
      </c>
      <c r="BC638" s="9" t="e">
        <f>IF(EFB!$N638=Table1[[#This Row],[ProgramTitle]],"Yes","No")</f>
        <v>#VALUE!</v>
      </c>
      <c r="BD638" s="9" t="e">
        <f>IF(EFB!$S638=Table1[[#This Row],[SeriesEpisodeTitle]],"Yes","No")</f>
        <v>#VALUE!</v>
      </c>
      <c r="BE638" s="11">
        <f t="shared" si="35"/>
        <v>0</v>
      </c>
      <c r="BF638" s="11">
        <f t="shared" si="36"/>
        <v>0</v>
      </c>
      <c r="BH638" s="21" t="e">
        <f>Table1[[#This Row],[StartTime]]+$BG$2</f>
        <v>#VALUE!</v>
      </c>
    </row>
    <row r="639" spans="3:60" x14ac:dyDescent="0.25">
      <c r="C639" s="35"/>
      <c r="G639" s="38"/>
      <c r="H639" s="38"/>
      <c r="I639" s="38"/>
      <c r="J639" s="38"/>
      <c r="K639" s="38"/>
      <c r="L639" s="22"/>
      <c r="M639" s="38"/>
      <c r="N639" s="38"/>
      <c r="O639" s="38"/>
      <c r="P639" s="38"/>
      <c r="Q639" s="38"/>
      <c r="R639" s="38"/>
      <c r="S639" s="38"/>
      <c r="BB639" s="9" t="str">
        <f t="shared" si="34"/>
        <v>Yes</v>
      </c>
      <c r="BC639" s="9" t="e">
        <f>IF(EFB!$N639=Table1[[#This Row],[ProgramTitle]],"Yes","No")</f>
        <v>#VALUE!</v>
      </c>
      <c r="BD639" s="9" t="e">
        <f>IF(EFB!$S639=Table1[[#This Row],[SeriesEpisodeTitle]],"Yes","No")</f>
        <v>#VALUE!</v>
      </c>
      <c r="BE639" s="11">
        <f t="shared" si="35"/>
        <v>0</v>
      </c>
      <c r="BF639" s="11">
        <f t="shared" si="36"/>
        <v>0</v>
      </c>
      <c r="BH639" s="21" t="e">
        <f>Table1[[#This Row],[StartTime]]+$BG$2</f>
        <v>#VALUE!</v>
      </c>
    </row>
    <row r="640" spans="3:60" x14ac:dyDescent="0.25">
      <c r="C640" s="35"/>
      <c r="L640" s="22"/>
      <c r="BB640" s="9" t="str">
        <f t="shared" si="34"/>
        <v>Yes</v>
      </c>
      <c r="BC640" s="9" t="e">
        <f>IF(EFB!$N640=Table1[[#This Row],[ProgramTitle]],"Yes","No")</f>
        <v>#VALUE!</v>
      </c>
      <c r="BD640" s="9" t="e">
        <f>IF(EFB!$S640=Table1[[#This Row],[SeriesEpisodeTitle]],"Yes","No")</f>
        <v>#VALUE!</v>
      </c>
      <c r="BE640" s="11">
        <f t="shared" si="35"/>
        <v>0</v>
      </c>
      <c r="BF640" s="11">
        <f t="shared" si="36"/>
        <v>0</v>
      </c>
      <c r="BH640" s="21" t="e">
        <f>Table1[[#This Row],[StartTime]]+$BG$2</f>
        <v>#VALUE!</v>
      </c>
    </row>
    <row r="641" spans="3:60" x14ac:dyDescent="0.25">
      <c r="C641" s="35"/>
      <c r="G641" s="38"/>
      <c r="H641" s="38"/>
      <c r="I641" s="38"/>
      <c r="J641" s="38"/>
      <c r="K641" s="38"/>
      <c r="L641" s="22"/>
      <c r="M641" s="38"/>
      <c r="N641" s="38"/>
      <c r="O641" s="38"/>
      <c r="P641" s="38"/>
      <c r="Q641" s="38"/>
      <c r="R641" s="38"/>
      <c r="S641" s="38"/>
      <c r="BB641" s="9" t="str">
        <f t="shared" si="34"/>
        <v>Yes</v>
      </c>
      <c r="BC641" s="9" t="e">
        <f>IF(EFB!$N641=Table1[[#This Row],[ProgramTitle]],"Yes","No")</f>
        <v>#VALUE!</v>
      </c>
      <c r="BD641" s="9" t="e">
        <f>IF(EFB!$S641=Table1[[#This Row],[SeriesEpisodeTitle]],"Yes","No")</f>
        <v>#VALUE!</v>
      </c>
      <c r="BE641" s="11">
        <f t="shared" si="35"/>
        <v>0</v>
      </c>
      <c r="BF641" s="11">
        <f t="shared" si="36"/>
        <v>0</v>
      </c>
      <c r="BH641" s="21" t="e">
        <f>Table1[[#This Row],[StartTime]]+$BG$2</f>
        <v>#VALUE!</v>
      </c>
    </row>
    <row r="642" spans="3:60" x14ac:dyDescent="0.25">
      <c r="C642" s="35"/>
      <c r="L642" s="22"/>
      <c r="BB642" s="9" t="str">
        <f t="shared" si="34"/>
        <v>Yes</v>
      </c>
      <c r="BC642" s="9" t="e">
        <f>IF(EFB!$N642=Table1[[#This Row],[ProgramTitle]],"Yes","No")</f>
        <v>#VALUE!</v>
      </c>
      <c r="BD642" s="9" t="e">
        <f>IF(EFB!$S642=Table1[[#This Row],[SeriesEpisodeTitle]],"Yes","No")</f>
        <v>#VALUE!</v>
      </c>
      <c r="BE642" s="11">
        <f t="shared" si="35"/>
        <v>0</v>
      </c>
      <c r="BF642" s="11">
        <f t="shared" si="36"/>
        <v>0</v>
      </c>
      <c r="BH642" s="21" t="e">
        <f>Table1[[#This Row],[StartTime]]+$BG$2</f>
        <v>#VALUE!</v>
      </c>
    </row>
    <row r="643" spans="3:60" x14ac:dyDescent="0.25">
      <c r="C643" s="35"/>
      <c r="G643" s="38"/>
      <c r="H643" s="38"/>
      <c r="I643" s="38"/>
      <c r="J643" s="38"/>
      <c r="K643" s="38"/>
      <c r="L643" s="22"/>
      <c r="M643" s="38"/>
      <c r="N643" s="38"/>
      <c r="O643" s="38"/>
      <c r="P643" s="38"/>
      <c r="Q643" s="38"/>
      <c r="R643" s="38"/>
      <c r="S643" s="38"/>
      <c r="BB643" s="9" t="str">
        <f t="shared" si="34"/>
        <v>Yes</v>
      </c>
      <c r="BC643" s="9" t="e">
        <f>IF(EFB!$N643=Table1[[#This Row],[ProgramTitle]],"Yes","No")</f>
        <v>#VALUE!</v>
      </c>
      <c r="BD643" s="9" t="e">
        <f>IF(EFB!$S643=Table1[[#This Row],[SeriesEpisodeTitle]],"Yes","No")</f>
        <v>#VALUE!</v>
      </c>
      <c r="BE643" s="11">
        <f t="shared" si="35"/>
        <v>0</v>
      </c>
      <c r="BF643" s="11">
        <f t="shared" si="36"/>
        <v>0</v>
      </c>
      <c r="BH643" s="21" t="e">
        <f>Table1[[#This Row],[StartTime]]+$BG$2</f>
        <v>#VALUE!</v>
      </c>
    </row>
    <row r="644" spans="3:60" x14ac:dyDescent="0.25">
      <c r="C644" s="35"/>
      <c r="L644" s="22"/>
      <c r="BB644" s="9" t="str">
        <f t="shared" si="34"/>
        <v>Yes</v>
      </c>
      <c r="BC644" s="9" t="e">
        <f>IF(EFB!$N644=Table1[[#This Row],[ProgramTitle]],"Yes","No")</f>
        <v>#VALUE!</v>
      </c>
      <c r="BD644" s="9" t="e">
        <f>IF(EFB!$S644=Table1[[#This Row],[SeriesEpisodeTitle]],"Yes","No")</f>
        <v>#VALUE!</v>
      </c>
      <c r="BE644" s="11">
        <f t="shared" si="35"/>
        <v>0</v>
      </c>
      <c r="BF644" s="11">
        <f t="shared" si="36"/>
        <v>0</v>
      </c>
      <c r="BH644" s="21" t="e">
        <f>Table1[[#This Row],[StartTime]]+$BG$2</f>
        <v>#VALUE!</v>
      </c>
    </row>
    <row r="645" spans="3:60" x14ac:dyDescent="0.25">
      <c r="C645" s="35"/>
      <c r="G645" s="38"/>
      <c r="H645" s="38"/>
      <c r="I645" s="38"/>
      <c r="J645" s="38"/>
      <c r="K645" s="38"/>
      <c r="L645" s="39"/>
      <c r="M645" s="38"/>
      <c r="N645" s="38"/>
      <c r="O645" s="38"/>
      <c r="P645" s="38"/>
      <c r="Q645" s="38"/>
      <c r="R645" s="38"/>
      <c r="S645" s="38"/>
      <c r="BB645" s="9" t="str">
        <f t="shared" si="34"/>
        <v>Yes</v>
      </c>
      <c r="BC645" s="9" t="e">
        <f>IF(EFB!$N645=Table1[[#This Row],[ProgramTitle]],"Yes","No")</f>
        <v>#VALUE!</v>
      </c>
      <c r="BD645" s="9" t="e">
        <f>IF(EFB!$S645=Table1[[#This Row],[SeriesEpisodeTitle]],"Yes","No")</f>
        <v>#VALUE!</v>
      </c>
      <c r="BE645" s="11">
        <f t="shared" si="35"/>
        <v>0</v>
      </c>
      <c r="BF645" s="11">
        <f t="shared" si="36"/>
        <v>0</v>
      </c>
      <c r="BH645" s="21" t="e">
        <f>Table1[[#This Row],[StartTime]]+$BG$2</f>
        <v>#VALUE!</v>
      </c>
    </row>
    <row r="646" spans="3:60" x14ac:dyDescent="0.25">
      <c r="C646" s="35"/>
      <c r="L646" s="39"/>
      <c r="BB646" s="9" t="str">
        <f t="shared" si="34"/>
        <v>Yes</v>
      </c>
      <c r="BC646" s="9" t="e">
        <f>IF(EFB!$N646=Table1[[#This Row],[ProgramTitle]],"Yes","No")</f>
        <v>#VALUE!</v>
      </c>
      <c r="BD646" s="9" t="e">
        <f>IF(EFB!$S646=Table1[[#This Row],[SeriesEpisodeTitle]],"Yes","No")</f>
        <v>#VALUE!</v>
      </c>
      <c r="BE646" s="11">
        <f t="shared" si="35"/>
        <v>0</v>
      </c>
      <c r="BF646" s="11">
        <f t="shared" si="36"/>
        <v>0</v>
      </c>
      <c r="BH646" s="21" t="e">
        <f>Table1[[#This Row],[StartTime]]+$BG$2</f>
        <v>#VALUE!</v>
      </c>
    </row>
    <row r="647" spans="3:60" x14ac:dyDescent="0.25">
      <c r="C647" s="35"/>
      <c r="G647" s="38"/>
      <c r="H647" s="38"/>
      <c r="I647" s="38"/>
      <c r="J647" s="38"/>
      <c r="K647" s="38"/>
      <c r="L647" s="39"/>
      <c r="M647" s="38"/>
      <c r="N647" s="38"/>
      <c r="O647" s="38"/>
      <c r="P647" s="38"/>
      <c r="Q647" s="38"/>
      <c r="R647" s="38"/>
      <c r="S647" s="38"/>
      <c r="BB647" s="9" t="str">
        <f t="shared" si="34"/>
        <v>Yes</v>
      </c>
      <c r="BC647" s="9" t="e">
        <f>IF(EFB!$N647=Table1[[#This Row],[ProgramTitle]],"Yes","No")</f>
        <v>#VALUE!</v>
      </c>
      <c r="BD647" s="9" t="e">
        <f>IF(EFB!$S647=Table1[[#This Row],[SeriesEpisodeTitle]],"Yes","No")</f>
        <v>#VALUE!</v>
      </c>
      <c r="BE647" s="11">
        <f t="shared" si="35"/>
        <v>0</v>
      </c>
      <c r="BF647" s="11">
        <f t="shared" si="36"/>
        <v>0</v>
      </c>
      <c r="BH647" s="21" t="e">
        <f>Table1[[#This Row],[StartTime]]+$BG$2</f>
        <v>#VALUE!</v>
      </c>
    </row>
    <row r="648" spans="3:60" x14ac:dyDescent="0.25">
      <c r="C648" s="35"/>
      <c r="L648" s="39"/>
      <c r="BB648" s="9" t="str">
        <f t="shared" si="34"/>
        <v>Yes</v>
      </c>
      <c r="BC648" s="9" t="e">
        <f>IF(EFB!$N648=Table1[[#This Row],[ProgramTitle]],"Yes","No")</f>
        <v>#VALUE!</v>
      </c>
      <c r="BD648" s="9" t="e">
        <f>IF(EFB!$S648=Table1[[#This Row],[SeriesEpisodeTitle]],"Yes","No")</f>
        <v>#VALUE!</v>
      </c>
      <c r="BE648" s="11">
        <f t="shared" si="35"/>
        <v>0</v>
      </c>
      <c r="BF648" s="11">
        <f t="shared" si="36"/>
        <v>0</v>
      </c>
      <c r="BH648" s="21" t="e">
        <f>Table1[[#This Row],[StartTime]]+$BG$2</f>
        <v>#VALUE!</v>
      </c>
    </row>
    <row r="649" spans="3:60" x14ac:dyDescent="0.25">
      <c r="C649" s="35"/>
      <c r="G649" s="38"/>
      <c r="H649" s="38"/>
      <c r="I649" s="38"/>
      <c r="J649" s="38"/>
      <c r="K649" s="38"/>
      <c r="L649" s="39"/>
      <c r="M649" s="38"/>
      <c r="N649" s="38"/>
      <c r="O649" s="38"/>
      <c r="P649" s="38"/>
      <c r="Q649" s="38"/>
      <c r="R649" s="38"/>
      <c r="S649" s="38"/>
      <c r="BB649" s="9" t="str">
        <f t="shared" si="34"/>
        <v>Yes</v>
      </c>
      <c r="BC649" s="9" t="e">
        <f>IF(EFB!$N649=Table1[[#This Row],[ProgramTitle]],"Yes","No")</f>
        <v>#VALUE!</v>
      </c>
      <c r="BD649" s="9" t="e">
        <f>IF(EFB!$S649=Table1[[#This Row],[SeriesEpisodeTitle]],"Yes","No")</f>
        <v>#VALUE!</v>
      </c>
      <c r="BE649" s="11">
        <f t="shared" si="35"/>
        <v>0</v>
      </c>
      <c r="BF649" s="11">
        <f t="shared" si="36"/>
        <v>0</v>
      </c>
      <c r="BH649" s="21" t="e">
        <f>Table1[[#This Row],[StartTime]]+$BG$2</f>
        <v>#VALUE!</v>
      </c>
    </row>
    <row r="650" spans="3:60" x14ac:dyDescent="0.25">
      <c r="C650" s="35"/>
      <c r="L650" s="39"/>
      <c r="BB650" s="9" t="str">
        <f t="shared" si="34"/>
        <v>Yes</v>
      </c>
      <c r="BC650" s="9" t="e">
        <f>IF(EFB!$N650=Table1[[#This Row],[ProgramTitle]],"Yes","No")</f>
        <v>#VALUE!</v>
      </c>
      <c r="BD650" s="9" t="e">
        <f>IF(EFB!$S650=Table1[[#This Row],[SeriesEpisodeTitle]],"Yes","No")</f>
        <v>#VALUE!</v>
      </c>
      <c r="BE650" s="11">
        <f t="shared" si="35"/>
        <v>0</v>
      </c>
      <c r="BF650" s="11">
        <f t="shared" si="36"/>
        <v>0</v>
      </c>
      <c r="BH650" s="21" t="e">
        <f>Table1[[#This Row],[StartTime]]+$BG$2</f>
        <v>#VALUE!</v>
      </c>
    </row>
    <row r="651" spans="3:60" x14ac:dyDescent="0.25">
      <c r="C651" s="35"/>
      <c r="G651" s="38"/>
      <c r="H651" s="38"/>
      <c r="I651" s="38"/>
      <c r="J651" s="38"/>
      <c r="K651" s="38"/>
      <c r="L651" s="39"/>
      <c r="M651" s="38"/>
      <c r="N651" s="38"/>
      <c r="O651" s="38"/>
      <c r="P651" s="38"/>
      <c r="Q651" s="38"/>
      <c r="R651" s="38"/>
      <c r="S651" s="38"/>
      <c r="BB651" s="9" t="str">
        <f t="shared" si="34"/>
        <v>Yes</v>
      </c>
      <c r="BC651" s="9" t="e">
        <f>IF(EFB!$N651=Table1[[#This Row],[ProgramTitle]],"Yes","No")</f>
        <v>#VALUE!</v>
      </c>
      <c r="BD651" s="9" t="e">
        <f>IF(EFB!$S651=Table1[[#This Row],[SeriesEpisodeTitle]],"Yes","No")</f>
        <v>#VALUE!</v>
      </c>
      <c r="BE651" s="11">
        <f t="shared" ref="BE651:BE706" si="37">TIME(HOUR(C651),MINUTE(C651),SECOND(0))</f>
        <v>0</v>
      </c>
      <c r="BF651" s="11">
        <f t="shared" ref="BF651:BF706" si="38">TIME(HOUR(L651),MINUTE(L651),SECOND(0))</f>
        <v>0</v>
      </c>
      <c r="BH651" s="36"/>
    </row>
    <row r="652" spans="3:60" x14ac:dyDescent="0.25">
      <c r="C652" s="35"/>
      <c r="L652" s="39"/>
      <c r="BB652" s="9" t="str">
        <f t="shared" si="34"/>
        <v>Yes</v>
      </c>
      <c r="BC652" s="9" t="e">
        <f>IF(EFB!$N652=Table1[[#This Row],[ProgramTitle]],"Yes","No")</f>
        <v>#VALUE!</v>
      </c>
      <c r="BD652" s="9" t="e">
        <f>IF(EFB!$S652=Table1[[#This Row],[SeriesEpisodeTitle]],"Yes","No")</f>
        <v>#VALUE!</v>
      </c>
      <c r="BE652" s="11">
        <f t="shared" si="37"/>
        <v>0</v>
      </c>
      <c r="BF652" s="11">
        <f t="shared" si="38"/>
        <v>0</v>
      </c>
      <c r="BH652" s="36"/>
    </row>
    <row r="653" spans="3:60" x14ac:dyDescent="0.25">
      <c r="C653" s="35"/>
      <c r="G653" s="38"/>
      <c r="H653" s="38"/>
      <c r="I653" s="38"/>
      <c r="J653" s="38"/>
      <c r="K653" s="38"/>
      <c r="L653" s="39"/>
      <c r="M653" s="38"/>
      <c r="N653" s="38"/>
      <c r="O653" s="38"/>
      <c r="P653" s="38"/>
      <c r="Q653" s="38"/>
      <c r="R653" s="38"/>
      <c r="S653" s="38"/>
      <c r="BB653" s="9" t="str">
        <f t="shared" si="34"/>
        <v>Yes</v>
      </c>
      <c r="BC653" s="9" t="e">
        <f>IF(EFB!$N653=Table1[[#This Row],[ProgramTitle]],"Yes","No")</f>
        <v>#VALUE!</v>
      </c>
      <c r="BD653" s="9" t="e">
        <f>IF(EFB!$S653=Table1[[#This Row],[SeriesEpisodeTitle]],"Yes","No")</f>
        <v>#VALUE!</v>
      </c>
      <c r="BE653" s="11">
        <f t="shared" si="37"/>
        <v>0</v>
      </c>
      <c r="BF653" s="11">
        <f t="shared" si="38"/>
        <v>0</v>
      </c>
      <c r="BH653" s="36"/>
    </row>
    <row r="654" spans="3:60" x14ac:dyDescent="0.25">
      <c r="C654" s="35"/>
      <c r="L654" s="39"/>
      <c r="BB654" s="9" t="str">
        <f t="shared" si="34"/>
        <v>Yes</v>
      </c>
      <c r="BC654" s="9" t="e">
        <f>IF(EFB!$N654=Table1[[#This Row],[ProgramTitle]],"Yes","No")</f>
        <v>#VALUE!</v>
      </c>
      <c r="BD654" s="9" t="e">
        <f>IF(EFB!$S654=Table1[[#This Row],[SeriesEpisodeTitle]],"Yes","No")</f>
        <v>#VALUE!</v>
      </c>
      <c r="BE654" s="11">
        <f t="shared" si="37"/>
        <v>0</v>
      </c>
      <c r="BF654" s="11">
        <f t="shared" si="38"/>
        <v>0</v>
      </c>
      <c r="BH654" s="36"/>
    </row>
    <row r="655" spans="3:60" x14ac:dyDescent="0.25">
      <c r="C655" s="35"/>
      <c r="G655" s="38"/>
      <c r="H655" s="38"/>
      <c r="I655" s="38"/>
      <c r="J655" s="38"/>
      <c r="K655" s="38"/>
      <c r="L655" s="39"/>
      <c r="M655" s="38"/>
      <c r="N655" s="38"/>
      <c r="O655" s="38"/>
      <c r="P655" s="38"/>
      <c r="Q655" s="38"/>
      <c r="R655" s="38"/>
      <c r="S655" s="38"/>
      <c r="BB655" s="9" t="str">
        <f t="shared" si="34"/>
        <v>Yes</v>
      </c>
      <c r="BC655" s="9" t="e">
        <f>IF(EFB!$N655=Table1[[#This Row],[ProgramTitle]],"Yes","No")</f>
        <v>#VALUE!</v>
      </c>
      <c r="BD655" s="9" t="e">
        <f>IF(EFB!$S655=Table1[[#This Row],[SeriesEpisodeTitle]],"Yes","No")</f>
        <v>#VALUE!</v>
      </c>
      <c r="BE655" s="11">
        <f t="shared" si="37"/>
        <v>0</v>
      </c>
      <c r="BF655" s="11">
        <f t="shared" si="38"/>
        <v>0</v>
      </c>
      <c r="BH655" s="36"/>
    </row>
    <row r="656" spans="3:60" x14ac:dyDescent="0.25">
      <c r="C656" s="35"/>
      <c r="L656" s="39"/>
      <c r="BB656" s="9" t="str">
        <f t="shared" si="34"/>
        <v>Yes</v>
      </c>
      <c r="BC656" s="9" t="e">
        <f>IF(EFB!$N656=Table1[[#This Row],[ProgramTitle]],"Yes","No")</f>
        <v>#VALUE!</v>
      </c>
      <c r="BD656" s="9" t="e">
        <f>IF(EFB!$S656=Table1[[#This Row],[SeriesEpisodeTitle]],"Yes","No")</f>
        <v>#VALUE!</v>
      </c>
      <c r="BE656" s="11">
        <f t="shared" si="37"/>
        <v>0</v>
      </c>
      <c r="BF656" s="11">
        <f t="shared" si="38"/>
        <v>0</v>
      </c>
      <c r="BH656" s="36"/>
    </row>
    <row r="657" spans="3:60" x14ac:dyDescent="0.25">
      <c r="C657" s="35"/>
      <c r="G657" s="38"/>
      <c r="H657" s="38"/>
      <c r="I657" s="38"/>
      <c r="J657" s="38"/>
      <c r="K657" s="38"/>
      <c r="L657" s="39"/>
      <c r="M657" s="38"/>
      <c r="N657" s="38"/>
      <c r="O657" s="38"/>
      <c r="P657" s="38"/>
      <c r="Q657" s="38"/>
      <c r="R657" s="38"/>
      <c r="S657" s="38"/>
      <c r="BB657" s="9" t="str">
        <f t="shared" si="34"/>
        <v>Yes</v>
      </c>
      <c r="BC657" s="9" t="e">
        <f>IF(EFB!$N657=Table1[[#This Row],[ProgramTitle]],"Yes","No")</f>
        <v>#VALUE!</v>
      </c>
      <c r="BD657" s="9" t="e">
        <f>IF(EFB!$S657=Table1[[#This Row],[SeriesEpisodeTitle]],"Yes","No")</f>
        <v>#VALUE!</v>
      </c>
      <c r="BE657" s="11">
        <f t="shared" si="37"/>
        <v>0</v>
      </c>
      <c r="BF657" s="11">
        <f t="shared" si="38"/>
        <v>0</v>
      </c>
      <c r="BH657" s="36"/>
    </row>
    <row r="658" spans="3:60" x14ac:dyDescent="0.25">
      <c r="C658" s="35"/>
      <c r="L658" s="39"/>
      <c r="BB658" s="9" t="str">
        <f t="shared" si="34"/>
        <v>Yes</v>
      </c>
      <c r="BC658" s="9" t="e">
        <f>IF(EFB!$N658=Table1[[#This Row],[ProgramTitle]],"Yes","No")</f>
        <v>#VALUE!</v>
      </c>
      <c r="BD658" s="9" t="e">
        <f>IF(EFB!$S658=Table1[[#This Row],[SeriesEpisodeTitle]],"Yes","No")</f>
        <v>#VALUE!</v>
      </c>
      <c r="BE658" s="11">
        <f t="shared" si="37"/>
        <v>0</v>
      </c>
      <c r="BF658" s="11">
        <f t="shared" si="38"/>
        <v>0</v>
      </c>
      <c r="BH658" s="36"/>
    </row>
    <row r="659" spans="3:60" x14ac:dyDescent="0.25">
      <c r="C659" s="35"/>
      <c r="G659" s="38"/>
      <c r="H659" s="38"/>
      <c r="I659" s="38"/>
      <c r="J659" s="38"/>
      <c r="K659" s="38"/>
      <c r="L659" s="39"/>
      <c r="M659" s="38"/>
      <c r="N659" s="38"/>
      <c r="O659" s="38"/>
      <c r="P659" s="38"/>
      <c r="Q659" s="38"/>
      <c r="R659" s="38"/>
      <c r="S659" s="38"/>
      <c r="BB659" s="9" t="str">
        <f t="shared" si="34"/>
        <v>Yes</v>
      </c>
      <c r="BC659" s="9" t="e">
        <f>IF(EFB!$N659=Table1[[#This Row],[ProgramTitle]],"Yes","No")</f>
        <v>#VALUE!</v>
      </c>
      <c r="BD659" s="9" t="e">
        <f>IF(EFB!$S659=Table1[[#This Row],[SeriesEpisodeTitle]],"Yes","No")</f>
        <v>#VALUE!</v>
      </c>
      <c r="BE659" s="11">
        <f t="shared" si="37"/>
        <v>0</v>
      </c>
      <c r="BF659" s="11">
        <f t="shared" si="38"/>
        <v>0</v>
      </c>
      <c r="BH659" s="36"/>
    </row>
    <row r="660" spans="3:60" x14ac:dyDescent="0.25">
      <c r="C660" s="35"/>
      <c r="L660" s="39"/>
      <c r="BB660" s="9" t="str">
        <f t="shared" si="34"/>
        <v>Yes</v>
      </c>
      <c r="BC660" s="9" t="e">
        <f>IF(EFB!$N660=Table1[[#This Row],[ProgramTitle]],"Yes","No")</f>
        <v>#VALUE!</v>
      </c>
      <c r="BD660" s="9" t="e">
        <f>IF(EFB!$S660=Table1[[#This Row],[SeriesEpisodeTitle]],"Yes","No")</f>
        <v>#VALUE!</v>
      </c>
      <c r="BE660" s="11">
        <f t="shared" si="37"/>
        <v>0</v>
      </c>
      <c r="BF660" s="11">
        <f t="shared" si="38"/>
        <v>0</v>
      </c>
      <c r="BH660" s="36"/>
    </row>
    <row r="661" spans="3:60" x14ac:dyDescent="0.25">
      <c r="C661" s="35"/>
      <c r="G661" s="38"/>
      <c r="H661" s="38"/>
      <c r="I661" s="38"/>
      <c r="J661" s="38"/>
      <c r="K661" s="38"/>
      <c r="L661" s="39"/>
      <c r="M661" s="38"/>
      <c r="N661" s="38"/>
      <c r="O661" s="38"/>
      <c r="P661" s="38"/>
      <c r="Q661" s="38"/>
      <c r="R661" s="38"/>
      <c r="S661" s="38"/>
      <c r="BB661" s="9" t="str">
        <f t="shared" si="34"/>
        <v>Yes</v>
      </c>
      <c r="BC661" s="9" t="e">
        <f>IF(EFB!$N661=Table1[[#This Row],[ProgramTitle]],"Yes","No")</f>
        <v>#VALUE!</v>
      </c>
      <c r="BD661" s="9" t="e">
        <f>IF(EFB!$S661=Table1[[#This Row],[SeriesEpisodeTitle]],"Yes","No")</f>
        <v>#VALUE!</v>
      </c>
      <c r="BE661" s="11">
        <f t="shared" si="37"/>
        <v>0</v>
      </c>
      <c r="BF661" s="11">
        <f t="shared" si="38"/>
        <v>0</v>
      </c>
      <c r="BH661" s="36"/>
    </row>
    <row r="662" spans="3:60" x14ac:dyDescent="0.25">
      <c r="C662" s="35"/>
      <c r="L662" s="39"/>
      <c r="BB662" s="9" t="str">
        <f t="shared" si="34"/>
        <v>Yes</v>
      </c>
      <c r="BC662" s="9" t="e">
        <f>IF(EFB!$N662=Table1[[#This Row],[ProgramTitle]],"Yes","No")</f>
        <v>#VALUE!</v>
      </c>
      <c r="BD662" s="9" t="e">
        <f>IF(EFB!$S662=Table1[[#This Row],[SeriesEpisodeTitle]],"Yes","No")</f>
        <v>#VALUE!</v>
      </c>
      <c r="BE662" s="11">
        <f t="shared" si="37"/>
        <v>0</v>
      </c>
      <c r="BF662" s="11">
        <f t="shared" si="38"/>
        <v>0</v>
      </c>
      <c r="BH662" s="36"/>
    </row>
    <row r="663" spans="3:60" x14ac:dyDescent="0.25">
      <c r="C663" s="35"/>
      <c r="G663" s="38"/>
      <c r="H663" s="38"/>
      <c r="I663" s="38"/>
      <c r="J663" s="38"/>
      <c r="K663" s="38"/>
      <c r="L663" s="39"/>
      <c r="M663" s="38"/>
      <c r="N663" s="38"/>
      <c r="O663" s="38"/>
      <c r="P663" s="38"/>
      <c r="Q663" s="38"/>
      <c r="R663" s="38"/>
      <c r="S663" s="38"/>
      <c r="BB663" s="9" t="str">
        <f t="shared" si="34"/>
        <v>Yes</v>
      </c>
      <c r="BC663" s="9" t="e">
        <f>IF(EFB!$N663=Table1[[#This Row],[ProgramTitle]],"Yes","No")</f>
        <v>#VALUE!</v>
      </c>
      <c r="BD663" s="9" t="e">
        <f>IF(EFB!$S663=Table1[[#This Row],[SeriesEpisodeTitle]],"Yes","No")</f>
        <v>#VALUE!</v>
      </c>
      <c r="BE663" s="11">
        <f t="shared" si="37"/>
        <v>0</v>
      </c>
      <c r="BF663" s="11">
        <f t="shared" si="38"/>
        <v>0</v>
      </c>
      <c r="BH663" s="36"/>
    </row>
    <row r="664" spans="3:60" x14ac:dyDescent="0.25">
      <c r="C664" s="35"/>
      <c r="L664" s="39"/>
      <c r="BB664" s="9" t="str">
        <f t="shared" si="34"/>
        <v>Yes</v>
      </c>
      <c r="BC664" s="9" t="e">
        <f>IF(EFB!$N664=Table1[[#This Row],[ProgramTitle]],"Yes","No")</f>
        <v>#VALUE!</v>
      </c>
      <c r="BD664" s="9" t="e">
        <f>IF(EFB!$S664=Table1[[#This Row],[SeriesEpisodeTitle]],"Yes","No")</f>
        <v>#VALUE!</v>
      </c>
      <c r="BE664" s="11">
        <f t="shared" si="37"/>
        <v>0</v>
      </c>
      <c r="BF664" s="11">
        <f t="shared" si="38"/>
        <v>0</v>
      </c>
      <c r="BH664" s="36"/>
    </row>
    <row r="665" spans="3:60" x14ac:dyDescent="0.25">
      <c r="C665" s="35"/>
      <c r="G665" s="38"/>
      <c r="H665" s="38"/>
      <c r="I665" s="38"/>
      <c r="J665" s="38"/>
      <c r="K665" s="38"/>
      <c r="L665" s="39"/>
      <c r="M665" s="38"/>
      <c r="N665" s="38"/>
      <c r="O665" s="38"/>
      <c r="P665" s="38"/>
      <c r="Q665" s="38"/>
      <c r="R665" s="38"/>
      <c r="S665" s="38"/>
      <c r="BB665" s="9" t="str">
        <f t="shared" si="34"/>
        <v>Yes</v>
      </c>
      <c r="BC665" s="9" t="e">
        <f>IF(EFB!$N665=Table1[[#This Row],[ProgramTitle]],"Yes","No")</f>
        <v>#VALUE!</v>
      </c>
      <c r="BD665" s="9" t="e">
        <f>IF(EFB!$S665=Table1[[#This Row],[SeriesEpisodeTitle]],"Yes","No")</f>
        <v>#VALUE!</v>
      </c>
      <c r="BE665" s="11">
        <f t="shared" si="37"/>
        <v>0</v>
      </c>
      <c r="BF665" s="11">
        <f t="shared" si="38"/>
        <v>0</v>
      </c>
      <c r="BH665" s="36"/>
    </row>
    <row r="666" spans="3:60" x14ac:dyDescent="0.25">
      <c r="C666" s="35"/>
      <c r="L666" s="39"/>
      <c r="BB666" s="9" t="str">
        <f t="shared" si="34"/>
        <v>Yes</v>
      </c>
      <c r="BC666" s="9" t="e">
        <f>IF(EFB!$N666=Table1[[#This Row],[ProgramTitle]],"Yes","No")</f>
        <v>#VALUE!</v>
      </c>
      <c r="BD666" s="9" t="e">
        <f>IF(EFB!$S666=Table1[[#This Row],[SeriesEpisodeTitle]],"Yes","No")</f>
        <v>#VALUE!</v>
      </c>
      <c r="BE666" s="11">
        <f t="shared" si="37"/>
        <v>0</v>
      </c>
      <c r="BF666" s="11">
        <f t="shared" si="38"/>
        <v>0</v>
      </c>
      <c r="BH666" s="36"/>
    </row>
    <row r="667" spans="3:60" x14ac:dyDescent="0.25">
      <c r="C667" s="35"/>
      <c r="G667" s="38"/>
      <c r="H667" s="38"/>
      <c r="I667" s="38"/>
      <c r="J667" s="38"/>
      <c r="K667" s="38"/>
      <c r="L667" s="39"/>
      <c r="M667" s="38"/>
      <c r="N667" s="38"/>
      <c r="O667" s="38"/>
      <c r="P667" s="38"/>
      <c r="Q667" s="38"/>
      <c r="R667" s="38"/>
      <c r="S667" s="38"/>
      <c r="BB667" s="9" t="str">
        <f t="shared" si="34"/>
        <v>Yes</v>
      </c>
      <c r="BC667" s="9" t="e">
        <f>IF(EFB!$N667=Table1[[#This Row],[ProgramTitle]],"Yes","No")</f>
        <v>#VALUE!</v>
      </c>
      <c r="BD667" s="9" t="e">
        <f>IF(EFB!$S667=Table1[[#This Row],[SeriesEpisodeTitle]],"Yes","No")</f>
        <v>#VALUE!</v>
      </c>
      <c r="BE667" s="11">
        <f t="shared" si="37"/>
        <v>0</v>
      </c>
      <c r="BF667" s="11">
        <f t="shared" si="38"/>
        <v>0</v>
      </c>
      <c r="BH667" s="36"/>
    </row>
    <row r="668" spans="3:60" x14ac:dyDescent="0.25">
      <c r="C668" s="35"/>
      <c r="L668" s="39"/>
      <c r="BB668" s="9" t="str">
        <f t="shared" si="34"/>
        <v>Yes</v>
      </c>
      <c r="BC668" s="9" t="e">
        <f>IF(EFB!$N668=Table1[[#This Row],[ProgramTitle]],"Yes","No")</f>
        <v>#VALUE!</v>
      </c>
      <c r="BD668" s="9" t="e">
        <f>IF(EFB!$S668=Table1[[#This Row],[SeriesEpisodeTitle]],"Yes","No")</f>
        <v>#VALUE!</v>
      </c>
      <c r="BE668" s="11">
        <f t="shared" si="37"/>
        <v>0</v>
      </c>
      <c r="BF668" s="11">
        <f t="shared" si="38"/>
        <v>0</v>
      </c>
      <c r="BH668" s="36"/>
    </row>
    <row r="669" spans="3:60" x14ac:dyDescent="0.25">
      <c r="C669" s="35"/>
      <c r="G669" s="38"/>
      <c r="H669" s="38"/>
      <c r="I669" s="38"/>
      <c r="J669" s="38"/>
      <c r="K669" s="38"/>
      <c r="L669" s="39"/>
      <c r="M669" s="38"/>
      <c r="N669" s="38"/>
      <c r="O669" s="38"/>
      <c r="P669" s="38"/>
      <c r="Q669" s="38"/>
      <c r="R669" s="38"/>
      <c r="S669" s="38"/>
      <c r="BB669" s="9" t="str">
        <f t="shared" si="34"/>
        <v>Yes</v>
      </c>
      <c r="BC669" s="9" t="e">
        <f>IF(EFB!$N669=Table1[[#This Row],[ProgramTitle]],"Yes","No")</f>
        <v>#VALUE!</v>
      </c>
      <c r="BD669" s="9" t="e">
        <f>IF(EFB!$S669=Table1[[#This Row],[SeriesEpisodeTitle]],"Yes","No")</f>
        <v>#VALUE!</v>
      </c>
      <c r="BE669" s="11">
        <f t="shared" si="37"/>
        <v>0</v>
      </c>
      <c r="BF669" s="11">
        <f t="shared" si="38"/>
        <v>0</v>
      </c>
      <c r="BH669" s="36"/>
    </row>
    <row r="670" spans="3:60" x14ac:dyDescent="0.25">
      <c r="C670" s="35"/>
      <c r="L670" s="39"/>
      <c r="BB670" s="9" t="str">
        <f t="shared" si="34"/>
        <v>Yes</v>
      </c>
      <c r="BC670" s="9" t="e">
        <f>IF(EFB!$N670=Table1[[#This Row],[ProgramTitle]],"Yes","No")</f>
        <v>#VALUE!</v>
      </c>
      <c r="BD670" s="9" t="e">
        <f>IF(EFB!$S670=Table1[[#This Row],[SeriesEpisodeTitle]],"Yes","No")</f>
        <v>#VALUE!</v>
      </c>
      <c r="BE670" s="11">
        <f t="shared" si="37"/>
        <v>0</v>
      </c>
      <c r="BF670" s="11">
        <f t="shared" si="38"/>
        <v>0</v>
      </c>
      <c r="BH670" s="36"/>
    </row>
    <row r="671" spans="3:60" x14ac:dyDescent="0.25">
      <c r="C671" s="35"/>
      <c r="G671" s="38"/>
      <c r="H671" s="38"/>
      <c r="I671" s="38"/>
      <c r="J671" s="38"/>
      <c r="K671" s="38"/>
      <c r="L671" s="39"/>
      <c r="M671" s="38"/>
      <c r="N671" s="38"/>
      <c r="O671" s="38"/>
      <c r="P671" s="38"/>
      <c r="Q671" s="38"/>
      <c r="R671" s="38"/>
      <c r="S671" s="38"/>
      <c r="BB671" s="9" t="str">
        <f t="shared" si="34"/>
        <v>Yes</v>
      </c>
      <c r="BC671" s="9" t="e">
        <f>IF(EFB!$N671=Table1[[#This Row],[ProgramTitle]],"Yes","No")</f>
        <v>#VALUE!</v>
      </c>
      <c r="BD671" s="9" t="e">
        <f>IF(EFB!$S671=Table1[[#This Row],[SeriesEpisodeTitle]],"Yes","No")</f>
        <v>#VALUE!</v>
      </c>
      <c r="BE671" s="11">
        <f t="shared" si="37"/>
        <v>0</v>
      </c>
      <c r="BF671" s="11">
        <f t="shared" si="38"/>
        <v>0</v>
      </c>
      <c r="BH671" s="36"/>
    </row>
    <row r="672" spans="3:60" x14ac:dyDescent="0.25">
      <c r="C672" s="35"/>
      <c r="L672" s="39"/>
      <c r="BB672" s="9" t="str">
        <f t="shared" si="34"/>
        <v>Yes</v>
      </c>
      <c r="BC672" s="9" t="e">
        <f>IF(EFB!$N672=Table1[[#This Row],[ProgramTitle]],"Yes","No")</f>
        <v>#VALUE!</v>
      </c>
      <c r="BD672" s="9" t="e">
        <f>IF(EFB!$S672=Table1[[#This Row],[SeriesEpisodeTitle]],"Yes","No")</f>
        <v>#VALUE!</v>
      </c>
      <c r="BE672" s="11">
        <f t="shared" si="37"/>
        <v>0</v>
      </c>
      <c r="BF672" s="11">
        <f t="shared" si="38"/>
        <v>0</v>
      </c>
      <c r="BH672" s="36"/>
    </row>
    <row r="673" spans="3:60" x14ac:dyDescent="0.25">
      <c r="C673" s="35"/>
      <c r="G673" s="38"/>
      <c r="H673" s="38"/>
      <c r="I673" s="38"/>
      <c r="J673" s="38"/>
      <c r="K673" s="38"/>
      <c r="L673" s="39"/>
      <c r="M673" s="38"/>
      <c r="N673" s="38"/>
      <c r="O673" s="38"/>
      <c r="P673" s="38"/>
      <c r="Q673" s="38"/>
      <c r="R673" s="38"/>
      <c r="S673" s="38"/>
      <c r="BB673" s="9" t="str">
        <f t="shared" si="34"/>
        <v>Yes</v>
      </c>
      <c r="BC673" s="9" t="e">
        <f>IF(EFB!$N673=Table1[[#This Row],[ProgramTitle]],"Yes","No")</f>
        <v>#VALUE!</v>
      </c>
      <c r="BD673" s="9" t="e">
        <f>IF(EFB!$S673=Table1[[#This Row],[SeriesEpisodeTitle]],"Yes","No")</f>
        <v>#VALUE!</v>
      </c>
      <c r="BE673" s="11">
        <f t="shared" si="37"/>
        <v>0</v>
      </c>
      <c r="BF673" s="11">
        <f t="shared" si="38"/>
        <v>0</v>
      </c>
      <c r="BH673" s="36"/>
    </row>
    <row r="674" spans="3:60" x14ac:dyDescent="0.25">
      <c r="C674" s="35"/>
      <c r="L674" s="39"/>
      <c r="BB674" s="9" t="str">
        <f t="shared" si="34"/>
        <v>Yes</v>
      </c>
      <c r="BC674" s="9" t="e">
        <f>IF(EFB!$N674=Table1[[#This Row],[ProgramTitle]],"Yes","No")</f>
        <v>#VALUE!</v>
      </c>
      <c r="BD674" s="9" t="e">
        <f>IF(EFB!$S674=Table1[[#This Row],[SeriesEpisodeTitle]],"Yes","No")</f>
        <v>#VALUE!</v>
      </c>
      <c r="BE674" s="11">
        <f t="shared" si="37"/>
        <v>0</v>
      </c>
      <c r="BF674" s="11">
        <f t="shared" si="38"/>
        <v>0</v>
      </c>
      <c r="BH674" s="36"/>
    </row>
    <row r="675" spans="3:60" x14ac:dyDescent="0.25">
      <c r="C675" s="35"/>
      <c r="G675" s="38"/>
      <c r="H675" s="38"/>
      <c r="I675" s="38"/>
      <c r="J675" s="38"/>
      <c r="K675" s="38"/>
      <c r="L675" s="39"/>
      <c r="M675" s="38"/>
      <c r="N675" s="38"/>
      <c r="O675" s="38"/>
      <c r="P675" s="38"/>
      <c r="Q675" s="38"/>
      <c r="R675" s="38"/>
      <c r="S675" s="38"/>
      <c r="BB675" s="9" t="str">
        <f t="shared" si="34"/>
        <v>Yes</v>
      </c>
      <c r="BC675" s="9" t="e">
        <f>IF(EFB!$N675=Table1[[#This Row],[ProgramTitle]],"Yes","No")</f>
        <v>#VALUE!</v>
      </c>
      <c r="BD675" s="9" t="e">
        <f>IF(EFB!$S675=Table1[[#This Row],[SeriesEpisodeTitle]],"Yes","No")</f>
        <v>#VALUE!</v>
      </c>
      <c r="BE675" s="11">
        <f t="shared" si="37"/>
        <v>0</v>
      </c>
      <c r="BF675" s="11">
        <f t="shared" si="38"/>
        <v>0</v>
      </c>
      <c r="BH675" s="36"/>
    </row>
    <row r="676" spans="3:60" x14ac:dyDescent="0.25">
      <c r="C676" s="35"/>
      <c r="L676" s="39"/>
      <c r="BB676" s="9" t="str">
        <f t="shared" si="34"/>
        <v>Yes</v>
      </c>
      <c r="BC676" s="9" t="e">
        <f>IF(EFB!$N676=Table1[[#This Row],[ProgramTitle]],"Yes","No")</f>
        <v>#VALUE!</v>
      </c>
      <c r="BD676" s="9" t="e">
        <f>IF(EFB!$S676=Table1[[#This Row],[SeriesEpisodeTitle]],"Yes","No")</f>
        <v>#VALUE!</v>
      </c>
      <c r="BE676" s="11">
        <f t="shared" si="37"/>
        <v>0</v>
      </c>
      <c r="BF676" s="11">
        <f t="shared" si="38"/>
        <v>0</v>
      </c>
      <c r="BH676" s="36"/>
    </row>
    <row r="677" spans="3:60" x14ac:dyDescent="0.25">
      <c r="C677" s="35"/>
      <c r="G677" s="38"/>
      <c r="H677" s="38"/>
      <c r="I677" s="38"/>
      <c r="J677" s="38"/>
      <c r="K677" s="38"/>
      <c r="L677" s="39"/>
      <c r="M677" s="38"/>
      <c r="N677" s="38"/>
      <c r="O677" s="38"/>
      <c r="P677" s="38"/>
      <c r="Q677" s="38"/>
      <c r="R677" s="38"/>
      <c r="S677" s="38"/>
      <c r="BB677" s="9" t="str">
        <f t="shared" si="34"/>
        <v>Yes</v>
      </c>
      <c r="BC677" s="9" t="e">
        <f>IF(EFB!$N677=Table1[[#This Row],[ProgramTitle]],"Yes","No")</f>
        <v>#VALUE!</v>
      </c>
      <c r="BD677" s="9" t="e">
        <f>IF(EFB!$S677=Table1[[#This Row],[SeriesEpisodeTitle]],"Yes","No")</f>
        <v>#VALUE!</v>
      </c>
      <c r="BE677" s="11">
        <f t="shared" si="37"/>
        <v>0</v>
      </c>
      <c r="BF677" s="11">
        <f t="shared" si="38"/>
        <v>0</v>
      </c>
      <c r="BH677" s="36"/>
    </row>
    <row r="678" spans="3:60" x14ac:dyDescent="0.25">
      <c r="C678" s="35"/>
      <c r="L678" s="39"/>
      <c r="BB678" s="9" t="str">
        <f t="shared" si="34"/>
        <v>Yes</v>
      </c>
      <c r="BC678" s="9" t="e">
        <f>IF(EFB!$N678=Table1[[#This Row],[ProgramTitle]],"Yes","No")</f>
        <v>#VALUE!</v>
      </c>
      <c r="BD678" s="9" t="e">
        <f>IF(EFB!$S678=Table1[[#This Row],[SeriesEpisodeTitle]],"Yes","No")</f>
        <v>#VALUE!</v>
      </c>
      <c r="BE678" s="11">
        <f t="shared" si="37"/>
        <v>0</v>
      </c>
      <c r="BF678" s="11">
        <f t="shared" si="38"/>
        <v>0</v>
      </c>
      <c r="BH678" s="36"/>
    </row>
    <row r="679" spans="3:60" x14ac:dyDescent="0.25">
      <c r="C679" s="35"/>
      <c r="G679" s="38"/>
      <c r="H679" s="38"/>
      <c r="I679" s="38"/>
      <c r="J679" s="38"/>
      <c r="K679" s="38"/>
      <c r="L679" s="39"/>
      <c r="M679" s="38"/>
      <c r="N679" s="38"/>
      <c r="O679" s="38"/>
      <c r="P679" s="38"/>
      <c r="Q679" s="38"/>
      <c r="R679" s="38"/>
      <c r="S679" s="38"/>
      <c r="BB679" s="9" t="str">
        <f t="shared" si="34"/>
        <v>Yes</v>
      </c>
      <c r="BC679" s="9" t="e">
        <f>IF(EFB!$N679=Table1[[#This Row],[ProgramTitle]],"Yes","No")</f>
        <v>#VALUE!</v>
      </c>
      <c r="BD679" s="9" t="e">
        <f>IF(EFB!$S679=Table1[[#This Row],[SeriesEpisodeTitle]],"Yes","No")</f>
        <v>#VALUE!</v>
      </c>
      <c r="BE679" s="11">
        <f t="shared" si="37"/>
        <v>0</v>
      </c>
      <c r="BF679" s="11">
        <f t="shared" si="38"/>
        <v>0</v>
      </c>
      <c r="BH679" s="36"/>
    </row>
    <row r="680" spans="3:60" x14ac:dyDescent="0.25">
      <c r="C680" s="35"/>
      <c r="L680" s="39"/>
      <c r="BB680" s="9" t="str">
        <f t="shared" si="34"/>
        <v>Yes</v>
      </c>
      <c r="BC680" s="9" t="e">
        <f>IF(EFB!$N680=Table1[[#This Row],[ProgramTitle]],"Yes","No")</f>
        <v>#VALUE!</v>
      </c>
      <c r="BD680" s="9" t="e">
        <f>IF(EFB!$S680=Table1[[#This Row],[SeriesEpisodeTitle]],"Yes","No")</f>
        <v>#VALUE!</v>
      </c>
      <c r="BE680" s="11">
        <f t="shared" si="37"/>
        <v>0</v>
      </c>
      <c r="BF680" s="11">
        <f t="shared" si="38"/>
        <v>0</v>
      </c>
      <c r="BH680" s="36"/>
    </row>
    <row r="681" spans="3:60" x14ac:dyDescent="0.25">
      <c r="C681" s="35"/>
      <c r="G681" s="38"/>
      <c r="H681" s="38"/>
      <c r="I681" s="38"/>
      <c r="J681" s="38"/>
      <c r="K681" s="38"/>
      <c r="L681" s="39"/>
      <c r="M681" s="38"/>
      <c r="N681" s="38"/>
      <c r="O681" s="38"/>
      <c r="P681" s="38"/>
      <c r="Q681" s="38"/>
      <c r="R681" s="38"/>
      <c r="S681" s="38"/>
      <c r="BB681" s="9" t="str">
        <f t="shared" si="34"/>
        <v>Yes</v>
      </c>
      <c r="BC681" s="9" t="e">
        <f>IF(EFB!$N681=Table1[[#This Row],[ProgramTitle]],"Yes","No")</f>
        <v>#VALUE!</v>
      </c>
      <c r="BD681" s="9" t="e">
        <f>IF(EFB!$S681=Table1[[#This Row],[SeriesEpisodeTitle]],"Yes","No")</f>
        <v>#VALUE!</v>
      </c>
      <c r="BE681" s="11">
        <f t="shared" si="37"/>
        <v>0</v>
      </c>
      <c r="BF681" s="11">
        <f t="shared" si="38"/>
        <v>0</v>
      </c>
      <c r="BH681" s="36"/>
    </row>
    <row r="682" spans="3:60" x14ac:dyDescent="0.25">
      <c r="C682" s="35"/>
      <c r="L682" s="39"/>
      <c r="BB682" s="9" t="str">
        <f t="shared" si="34"/>
        <v>Yes</v>
      </c>
      <c r="BC682" s="9" t="e">
        <f>IF(EFB!$N682=Table1[[#This Row],[ProgramTitle]],"Yes","No")</f>
        <v>#VALUE!</v>
      </c>
      <c r="BD682" s="9" t="e">
        <f>IF(EFB!$S682=Table1[[#This Row],[SeriesEpisodeTitle]],"Yes","No")</f>
        <v>#VALUE!</v>
      </c>
      <c r="BE682" s="11">
        <f t="shared" si="37"/>
        <v>0</v>
      </c>
      <c r="BF682" s="11">
        <f t="shared" si="38"/>
        <v>0</v>
      </c>
      <c r="BH682" s="36"/>
    </row>
    <row r="683" spans="3:60" x14ac:dyDescent="0.25">
      <c r="C683" s="35"/>
      <c r="G683" s="38"/>
      <c r="H683" s="38"/>
      <c r="I683" s="38"/>
      <c r="J683" s="38"/>
      <c r="K683" s="38"/>
      <c r="L683" s="39"/>
      <c r="M683" s="38"/>
      <c r="N683" s="38"/>
      <c r="O683" s="38"/>
      <c r="P683" s="38"/>
      <c r="Q683" s="38"/>
      <c r="R683" s="38"/>
      <c r="S683" s="38"/>
      <c r="BB683" s="9" t="str">
        <f t="shared" si="34"/>
        <v>Yes</v>
      </c>
      <c r="BC683" s="9" t="e">
        <f>IF(EFB!$N683=Table1[[#This Row],[ProgramTitle]],"Yes","No")</f>
        <v>#VALUE!</v>
      </c>
      <c r="BD683" s="9" t="e">
        <f>IF(EFB!$S683=Table1[[#This Row],[SeriesEpisodeTitle]],"Yes","No")</f>
        <v>#VALUE!</v>
      </c>
      <c r="BE683" s="11">
        <f t="shared" si="37"/>
        <v>0</v>
      </c>
      <c r="BF683" s="11">
        <f t="shared" si="38"/>
        <v>0</v>
      </c>
      <c r="BH683" s="36"/>
    </row>
    <row r="684" spans="3:60" x14ac:dyDescent="0.25">
      <c r="C684" s="35"/>
      <c r="L684" s="39"/>
      <c r="BB684" s="9" t="str">
        <f t="shared" si="34"/>
        <v>Yes</v>
      </c>
      <c r="BC684" s="9" t="e">
        <f>IF(EFB!$N684=Table1[[#This Row],[ProgramTitle]],"Yes","No")</f>
        <v>#VALUE!</v>
      </c>
      <c r="BD684" s="9" t="e">
        <f>IF(EFB!$S684=Table1[[#This Row],[SeriesEpisodeTitle]],"Yes","No")</f>
        <v>#VALUE!</v>
      </c>
      <c r="BE684" s="11">
        <f t="shared" si="37"/>
        <v>0</v>
      </c>
      <c r="BF684" s="11">
        <f t="shared" si="38"/>
        <v>0</v>
      </c>
      <c r="BH684" s="36"/>
    </row>
    <row r="685" spans="3:60" x14ac:dyDescent="0.25">
      <c r="C685" s="35"/>
      <c r="G685" s="38"/>
      <c r="H685" s="38"/>
      <c r="I685" s="38"/>
      <c r="J685" s="38"/>
      <c r="K685" s="38"/>
      <c r="L685" s="39"/>
      <c r="M685" s="38"/>
      <c r="N685" s="38"/>
      <c r="O685" s="38"/>
      <c r="P685" s="38"/>
      <c r="Q685" s="38"/>
      <c r="R685" s="38"/>
      <c r="S685" s="38"/>
      <c r="BB685" s="9" t="str">
        <f t="shared" si="34"/>
        <v>Yes</v>
      </c>
      <c r="BC685" s="9" t="e">
        <f>IF(EFB!$N685=Table1[[#This Row],[ProgramTitle]],"Yes","No")</f>
        <v>#VALUE!</v>
      </c>
      <c r="BD685" s="9" t="e">
        <f>IF(EFB!$S685=Table1[[#This Row],[SeriesEpisodeTitle]],"Yes","No")</f>
        <v>#VALUE!</v>
      </c>
      <c r="BE685" s="11">
        <f t="shared" si="37"/>
        <v>0</v>
      </c>
      <c r="BF685" s="11">
        <f t="shared" si="38"/>
        <v>0</v>
      </c>
      <c r="BH685" s="36"/>
    </row>
    <row r="686" spans="3:60" x14ac:dyDescent="0.25">
      <c r="C686" s="35"/>
      <c r="L686" s="39"/>
      <c r="BB686" s="9" t="str">
        <f t="shared" si="34"/>
        <v>Yes</v>
      </c>
      <c r="BC686" s="9" t="e">
        <f>IF(EFB!$N686=Table1[[#This Row],[ProgramTitle]],"Yes","No")</f>
        <v>#VALUE!</v>
      </c>
      <c r="BD686" s="9" t="e">
        <f>IF(EFB!$S686=Table1[[#This Row],[SeriesEpisodeTitle]],"Yes","No")</f>
        <v>#VALUE!</v>
      </c>
      <c r="BE686" s="11">
        <f t="shared" si="37"/>
        <v>0</v>
      </c>
      <c r="BF686" s="11">
        <f t="shared" si="38"/>
        <v>0</v>
      </c>
      <c r="BH686" s="36"/>
    </row>
    <row r="687" spans="3:60" x14ac:dyDescent="0.25">
      <c r="C687" s="35"/>
      <c r="G687" s="38"/>
      <c r="H687" s="38"/>
      <c r="I687" s="38"/>
      <c r="J687" s="38"/>
      <c r="K687" s="38"/>
      <c r="L687" s="39"/>
      <c r="M687" s="38"/>
      <c r="N687" s="38"/>
      <c r="O687" s="38"/>
      <c r="P687" s="38"/>
      <c r="Q687" s="38"/>
      <c r="R687" s="38"/>
      <c r="S687" s="38"/>
      <c r="BB687" s="9" t="str">
        <f t="shared" ref="BB687:BB750" si="39">IF(BE687=BF687,"Yes","No")</f>
        <v>Yes</v>
      </c>
      <c r="BC687" s="9" t="e">
        <f>IF(EFB!$N687=Table1[[#This Row],[ProgramTitle]],"Yes","No")</f>
        <v>#VALUE!</v>
      </c>
      <c r="BD687" s="9" t="e">
        <f>IF(EFB!$S687=Table1[[#This Row],[SeriesEpisodeTitle]],"Yes","No")</f>
        <v>#VALUE!</v>
      </c>
      <c r="BE687" s="11">
        <f t="shared" si="37"/>
        <v>0</v>
      </c>
      <c r="BF687" s="11">
        <f t="shared" si="38"/>
        <v>0</v>
      </c>
      <c r="BH687" s="36"/>
    </row>
    <row r="688" spans="3:60" x14ac:dyDescent="0.25">
      <c r="C688" s="35"/>
      <c r="L688" s="39"/>
      <c r="BB688" s="9" t="str">
        <f t="shared" si="39"/>
        <v>Yes</v>
      </c>
      <c r="BC688" s="9" t="e">
        <f>IF(EFB!$N688=Table1[[#This Row],[ProgramTitle]],"Yes","No")</f>
        <v>#VALUE!</v>
      </c>
      <c r="BD688" s="9" t="e">
        <f>IF(EFB!$S688=Table1[[#This Row],[SeriesEpisodeTitle]],"Yes","No")</f>
        <v>#VALUE!</v>
      </c>
      <c r="BE688" s="11">
        <f t="shared" si="37"/>
        <v>0</v>
      </c>
      <c r="BF688" s="11">
        <f t="shared" si="38"/>
        <v>0</v>
      </c>
      <c r="BH688" s="36"/>
    </row>
    <row r="689" spans="3:60" x14ac:dyDescent="0.25">
      <c r="C689" s="35"/>
      <c r="G689" s="38"/>
      <c r="H689" s="38"/>
      <c r="I689" s="38"/>
      <c r="J689" s="38"/>
      <c r="K689" s="38"/>
      <c r="L689" s="39"/>
      <c r="M689" s="38"/>
      <c r="N689" s="38"/>
      <c r="O689" s="38"/>
      <c r="P689" s="38"/>
      <c r="Q689" s="38"/>
      <c r="R689" s="38"/>
      <c r="S689" s="38"/>
      <c r="BB689" s="9" t="str">
        <f t="shared" si="39"/>
        <v>Yes</v>
      </c>
      <c r="BC689" s="9" t="e">
        <f>IF(EFB!$N689=Table1[[#This Row],[ProgramTitle]],"Yes","No")</f>
        <v>#VALUE!</v>
      </c>
      <c r="BD689" s="9" t="e">
        <f>IF(EFB!$S689=Table1[[#This Row],[SeriesEpisodeTitle]],"Yes","No")</f>
        <v>#VALUE!</v>
      </c>
      <c r="BE689" s="11">
        <f t="shared" si="37"/>
        <v>0</v>
      </c>
      <c r="BF689" s="11">
        <f t="shared" si="38"/>
        <v>0</v>
      </c>
      <c r="BH689" s="36"/>
    </row>
    <row r="690" spans="3:60" x14ac:dyDescent="0.25">
      <c r="C690" s="35"/>
      <c r="L690" s="39"/>
      <c r="BB690" s="9" t="str">
        <f t="shared" si="39"/>
        <v>Yes</v>
      </c>
      <c r="BC690" s="9" t="e">
        <f>IF(EFB!$N690=Table1[[#This Row],[ProgramTitle]],"Yes","No")</f>
        <v>#VALUE!</v>
      </c>
      <c r="BD690" s="9" t="e">
        <f>IF(EFB!$S690=Table1[[#This Row],[SeriesEpisodeTitle]],"Yes","No")</f>
        <v>#VALUE!</v>
      </c>
      <c r="BE690" s="11">
        <f t="shared" si="37"/>
        <v>0</v>
      </c>
      <c r="BF690" s="11">
        <f t="shared" si="38"/>
        <v>0</v>
      </c>
      <c r="BH690" s="36"/>
    </row>
    <row r="691" spans="3:60" x14ac:dyDescent="0.25">
      <c r="C691" s="35"/>
      <c r="G691" s="38"/>
      <c r="H691" s="38"/>
      <c r="I691" s="38"/>
      <c r="J691" s="38"/>
      <c r="K691" s="38"/>
      <c r="L691" s="39"/>
      <c r="M691" s="38"/>
      <c r="N691" s="38"/>
      <c r="O691" s="38"/>
      <c r="P691" s="38"/>
      <c r="Q691" s="38"/>
      <c r="R691" s="38"/>
      <c r="S691" s="38"/>
      <c r="BB691" s="9" t="str">
        <f t="shared" si="39"/>
        <v>Yes</v>
      </c>
      <c r="BC691" s="9" t="e">
        <f>IF(EFB!$N691=Table1[[#This Row],[ProgramTitle]],"Yes","No")</f>
        <v>#VALUE!</v>
      </c>
      <c r="BD691" s="9" t="e">
        <f>IF(EFB!$S691=Table1[[#This Row],[SeriesEpisodeTitle]],"Yes","No")</f>
        <v>#VALUE!</v>
      </c>
      <c r="BE691" s="11">
        <f t="shared" si="37"/>
        <v>0</v>
      </c>
      <c r="BF691" s="11">
        <f t="shared" si="38"/>
        <v>0</v>
      </c>
      <c r="BH691" s="36"/>
    </row>
    <row r="692" spans="3:60" x14ac:dyDescent="0.25">
      <c r="C692" s="35"/>
      <c r="L692" s="39"/>
      <c r="BB692" s="9" t="str">
        <f t="shared" si="39"/>
        <v>Yes</v>
      </c>
      <c r="BC692" s="9" t="e">
        <f>IF(EFB!$N692=Table1[[#This Row],[ProgramTitle]],"Yes","No")</f>
        <v>#VALUE!</v>
      </c>
      <c r="BD692" s="9" t="e">
        <f>IF(EFB!$S692=Table1[[#This Row],[SeriesEpisodeTitle]],"Yes","No")</f>
        <v>#VALUE!</v>
      </c>
      <c r="BE692" s="11">
        <f t="shared" si="37"/>
        <v>0</v>
      </c>
      <c r="BF692" s="11">
        <f t="shared" si="38"/>
        <v>0</v>
      </c>
      <c r="BH692" s="36"/>
    </row>
    <row r="693" spans="3:60" x14ac:dyDescent="0.25">
      <c r="C693" s="35"/>
      <c r="G693" s="38"/>
      <c r="H693" s="38"/>
      <c r="I693" s="38"/>
      <c r="J693" s="38"/>
      <c r="K693" s="38"/>
      <c r="L693" s="39"/>
      <c r="M693" s="38"/>
      <c r="N693" s="38"/>
      <c r="O693" s="38"/>
      <c r="P693" s="38"/>
      <c r="Q693" s="38"/>
      <c r="R693" s="38"/>
      <c r="S693" s="38"/>
      <c r="BB693" s="9" t="str">
        <f t="shared" si="39"/>
        <v>Yes</v>
      </c>
      <c r="BC693" s="9" t="e">
        <f>IF(EFB!$N693=Table1[[#This Row],[ProgramTitle]],"Yes","No")</f>
        <v>#VALUE!</v>
      </c>
      <c r="BD693" s="9" t="e">
        <f>IF(EFB!$S693=Table1[[#This Row],[SeriesEpisodeTitle]],"Yes","No")</f>
        <v>#VALUE!</v>
      </c>
      <c r="BE693" s="11">
        <f t="shared" si="37"/>
        <v>0</v>
      </c>
      <c r="BF693" s="11">
        <f t="shared" si="38"/>
        <v>0</v>
      </c>
      <c r="BH693" s="36"/>
    </row>
    <row r="694" spans="3:60" x14ac:dyDescent="0.25">
      <c r="C694" s="35"/>
      <c r="L694" s="39"/>
      <c r="BB694" s="9" t="str">
        <f t="shared" si="39"/>
        <v>Yes</v>
      </c>
      <c r="BC694" s="9" t="e">
        <f>IF(EFB!$N694=Table1[[#This Row],[ProgramTitle]],"Yes","No")</f>
        <v>#VALUE!</v>
      </c>
      <c r="BD694" s="9" t="e">
        <f>IF(EFB!$S694=Table1[[#This Row],[SeriesEpisodeTitle]],"Yes","No")</f>
        <v>#VALUE!</v>
      </c>
      <c r="BE694" s="11">
        <f t="shared" si="37"/>
        <v>0</v>
      </c>
      <c r="BF694" s="11">
        <f t="shared" si="38"/>
        <v>0</v>
      </c>
      <c r="BH694" s="36"/>
    </row>
    <row r="695" spans="3:60" x14ac:dyDescent="0.25">
      <c r="C695" s="35"/>
      <c r="G695" s="38"/>
      <c r="H695" s="38"/>
      <c r="I695" s="38"/>
      <c r="J695" s="38"/>
      <c r="K695" s="38"/>
      <c r="L695" s="39"/>
      <c r="M695" s="38"/>
      <c r="N695" s="38"/>
      <c r="O695" s="38"/>
      <c r="P695" s="38"/>
      <c r="Q695" s="38"/>
      <c r="R695" s="38"/>
      <c r="S695" s="38"/>
      <c r="BB695" s="9" t="str">
        <f t="shared" si="39"/>
        <v>Yes</v>
      </c>
      <c r="BC695" s="9" t="e">
        <f>IF(EFB!$N695=Table1[[#This Row],[ProgramTitle]],"Yes","No")</f>
        <v>#VALUE!</v>
      </c>
      <c r="BD695" s="9" t="e">
        <f>IF(EFB!$S695=Table1[[#This Row],[SeriesEpisodeTitle]],"Yes","No")</f>
        <v>#VALUE!</v>
      </c>
      <c r="BE695" s="11">
        <f t="shared" si="37"/>
        <v>0</v>
      </c>
      <c r="BF695" s="11">
        <f t="shared" si="38"/>
        <v>0</v>
      </c>
      <c r="BH695" s="36"/>
    </row>
    <row r="696" spans="3:60" x14ac:dyDescent="0.25">
      <c r="C696" s="35"/>
      <c r="L696" s="39"/>
      <c r="BB696" s="9" t="str">
        <f t="shared" si="39"/>
        <v>Yes</v>
      </c>
      <c r="BC696" s="9" t="e">
        <f>IF(EFB!$N696=Table1[[#This Row],[ProgramTitle]],"Yes","No")</f>
        <v>#VALUE!</v>
      </c>
      <c r="BD696" s="9" t="e">
        <f>IF(EFB!$S696=Table1[[#This Row],[SeriesEpisodeTitle]],"Yes","No")</f>
        <v>#VALUE!</v>
      </c>
      <c r="BE696" s="11">
        <f t="shared" si="37"/>
        <v>0</v>
      </c>
      <c r="BF696" s="11">
        <f t="shared" si="38"/>
        <v>0</v>
      </c>
      <c r="BH696" s="36"/>
    </row>
    <row r="697" spans="3:60" x14ac:dyDescent="0.25">
      <c r="C697" s="35"/>
      <c r="G697" s="38"/>
      <c r="H697" s="38"/>
      <c r="I697" s="38"/>
      <c r="J697" s="38"/>
      <c r="K697" s="38"/>
      <c r="L697" s="39"/>
      <c r="M697" s="38"/>
      <c r="N697" s="38"/>
      <c r="O697" s="38"/>
      <c r="P697" s="38"/>
      <c r="Q697" s="38"/>
      <c r="R697" s="38"/>
      <c r="S697" s="38"/>
      <c r="BB697" s="9" t="str">
        <f t="shared" si="39"/>
        <v>Yes</v>
      </c>
      <c r="BC697" s="9" t="e">
        <f>IF(EFB!$N697=Table1[[#This Row],[ProgramTitle]],"Yes","No")</f>
        <v>#VALUE!</v>
      </c>
      <c r="BD697" s="9" t="e">
        <f>IF(EFB!$S697=Table1[[#This Row],[SeriesEpisodeTitle]],"Yes","No")</f>
        <v>#VALUE!</v>
      </c>
      <c r="BE697" s="11">
        <f t="shared" si="37"/>
        <v>0</v>
      </c>
      <c r="BF697" s="11">
        <f t="shared" si="38"/>
        <v>0</v>
      </c>
      <c r="BH697" s="36"/>
    </row>
    <row r="698" spans="3:60" x14ac:dyDescent="0.25">
      <c r="C698" s="35"/>
      <c r="L698" s="39"/>
      <c r="BB698" s="9" t="str">
        <f t="shared" si="39"/>
        <v>Yes</v>
      </c>
      <c r="BC698" s="9" t="e">
        <f>IF(EFB!$N698=Table1[[#This Row],[ProgramTitle]],"Yes","No")</f>
        <v>#VALUE!</v>
      </c>
      <c r="BD698" s="9" t="e">
        <f>IF(EFB!$S698=Table1[[#This Row],[SeriesEpisodeTitle]],"Yes","No")</f>
        <v>#VALUE!</v>
      </c>
      <c r="BE698" s="11">
        <f t="shared" si="37"/>
        <v>0</v>
      </c>
      <c r="BF698" s="11">
        <f t="shared" si="38"/>
        <v>0</v>
      </c>
      <c r="BH698" s="36"/>
    </row>
    <row r="699" spans="3:60" x14ac:dyDescent="0.25">
      <c r="C699" s="35"/>
      <c r="G699" s="38"/>
      <c r="H699" s="38"/>
      <c r="I699" s="38"/>
      <c r="J699" s="38"/>
      <c r="K699" s="38"/>
      <c r="L699" s="39"/>
      <c r="M699" s="38"/>
      <c r="N699" s="38"/>
      <c r="O699" s="38"/>
      <c r="P699" s="38"/>
      <c r="Q699" s="38"/>
      <c r="R699" s="38"/>
      <c r="S699" s="38"/>
      <c r="BB699" s="9" t="str">
        <f t="shared" si="39"/>
        <v>Yes</v>
      </c>
      <c r="BC699" s="9" t="e">
        <f>IF(EFB!$N699=Table1[[#This Row],[ProgramTitle]],"Yes","No")</f>
        <v>#VALUE!</v>
      </c>
      <c r="BD699" s="9" t="e">
        <f>IF(EFB!$S699=Table1[[#This Row],[SeriesEpisodeTitle]],"Yes","No")</f>
        <v>#VALUE!</v>
      </c>
      <c r="BE699" s="11">
        <f t="shared" si="37"/>
        <v>0</v>
      </c>
      <c r="BF699" s="11">
        <f t="shared" si="38"/>
        <v>0</v>
      </c>
      <c r="BH699" s="36"/>
    </row>
    <row r="700" spans="3:60" x14ac:dyDescent="0.25">
      <c r="C700" s="35"/>
      <c r="L700" s="39"/>
      <c r="BB700" s="9" t="str">
        <f t="shared" si="39"/>
        <v>Yes</v>
      </c>
      <c r="BC700" s="9" t="e">
        <f>IF(EFB!$N700=Table1[[#This Row],[ProgramTitle]],"Yes","No")</f>
        <v>#VALUE!</v>
      </c>
      <c r="BD700" s="9" t="e">
        <f>IF(EFB!$S700=Table1[[#This Row],[SeriesEpisodeTitle]],"Yes","No")</f>
        <v>#VALUE!</v>
      </c>
      <c r="BE700" s="11">
        <f t="shared" si="37"/>
        <v>0</v>
      </c>
      <c r="BF700" s="11">
        <f t="shared" si="38"/>
        <v>0</v>
      </c>
      <c r="BH700" s="36"/>
    </row>
    <row r="701" spans="3:60" x14ac:dyDescent="0.25">
      <c r="C701" s="35"/>
      <c r="G701" s="38"/>
      <c r="H701" s="38"/>
      <c r="I701" s="38"/>
      <c r="J701" s="38"/>
      <c r="K701" s="38"/>
      <c r="L701" s="39"/>
      <c r="M701" s="38"/>
      <c r="N701" s="38"/>
      <c r="O701" s="38"/>
      <c r="P701" s="38"/>
      <c r="Q701" s="38"/>
      <c r="R701" s="38"/>
      <c r="S701" s="38"/>
      <c r="BB701" s="9" t="str">
        <f t="shared" si="39"/>
        <v>Yes</v>
      </c>
      <c r="BC701" s="9" t="e">
        <f>IF(EFB!$N701=Table1[[#This Row],[ProgramTitle]],"Yes","No")</f>
        <v>#VALUE!</v>
      </c>
      <c r="BD701" s="9" t="e">
        <f>IF(EFB!$S701=Table1[[#This Row],[SeriesEpisodeTitle]],"Yes","No")</f>
        <v>#VALUE!</v>
      </c>
      <c r="BE701" s="11">
        <f t="shared" si="37"/>
        <v>0</v>
      </c>
      <c r="BF701" s="11">
        <f t="shared" si="38"/>
        <v>0</v>
      </c>
      <c r="BH701" s="36"/>
    </row>
    <row r="702" spans="3:60" x14ac:dyDescent="0.25">
      <c r="C702" s="35"/>
      <c r="L702" s="39"/>
      <c r="BB702" s="9" t="str">
        <f t="shared" si="39"/>
        <v>Yes</v>
      </c>
      <c r="BC702" s="9" t="e">
        <f>IF(EFB!$N702=Table1[[#This Row],[ProgramTitle]],"Yes","No")</f>
        <v>#VALUE!</v>
      </c>
      <c r="BD702" s="9" t="e">
        <f>IF(EFB!$S702=Table1[[#This Row],[SeriesEpisodeTitle]],"Yes","No")</f>
        <v>#VALUE!</v>
      </c>
      <c r="BE702" s="11">
        <f t="shared" si="37"/>
        <v>0</v>
      </c>
      <c r="BF702" s="11">
        <f t="shared" si="38"/>
        <v>0</v>
      </c>
      <c r="BH702" s="36"/>
    </row>
    <row r="703" spans="3:60" x14ac:dyDescent="0.25">
      <c r="C703" s="35"/>
      <c r="G703" s="38"/>
      <c r="H703" s="38"/>
      <c r="I703" s="38"/>
      <c r="J703" s="38"/>
      <c r="K703" s="38"/>
      <c r="L703" s="39"/>
      <c r="M703" s="38"/>
      <c r="N703" s="38"/>
      <c r="O703" s="38"/>
      <c r="P703" s="38"/>
      <c r="Q703" s="38"/>
      <c r="R703" s="38"/>
      <c r="S703" s="38"/>
      <c r="BB703" s="9" t="str">
        <f t="shared" si="39"/>
        <v>Yes</v>
      </c>
      <c r="BC703" s="9" t="e">
        <f>IF(EFB!$N703=Table1[[#This Row],[ProgramTitle]],"Yes","No")</f>
        <v>#VALUE!</v>
      </c>
      <c r="BD703" s="9" t="e">
        <f>IF(EFB!$S703=Table1[[#This Row],[SeriesEpisodeTitle]],"Yes","No")</f>
        <v>#VALUE!</v>
      </c>
      <c r="BE703" s="11">
        <f t="shared" si="37"/>
        <v>0</v>
      </c>
      <c r="BF703" s="11">
        <f t="shared" si="38"/>
        <v>0</v>
      </c>
      <c r="BH703" s="36"/>
    </row>
    <row r="704" spans="3:60" x14ac:dyDescent="0.25">
      <c r="C704" s="35"/>
      <c r="L704" s="39"/>
      <c r="BB704" s="9" t="str">
        <f t="shared" si="39"/>
        <v>Yes</v>
      </c>
      <c r="BC704" s="9" t="e">
        <f>IF(EFB!$N704=Table1[[#This Row],[ProgramTitle]],"Yes","No")</f>
        <v>#VALUE!</v>
      </c>
      <c r="BD704" s="9" t="e">
        <f>IF(EFB!$S704=Table1[[#This Row],[SeriesEpisodeTitle]],"Yes","No")</f>
        <v>#VALUE!</v>
      </c>
      <c r="BE704" s="11">
        <f t="shared" si="37"/>
        <v>0</v>
      </c>
      <c r="BF704" s="11">
        <f t="shared" si="38"/>
        <v>0</v>
      </c>
      <c r="BH704" s="36"/>
    </row>
    <row r="705" spans="3:60" x14ac:dyDescent="0.25">
      <c r="C705" s="35"/>
      <c r="G705" s="38"/>
      <c r="H705" s="38"/>
      <c r="I705" s="38"/>
      <c r="J705" s="38"/>
      <c r="K705" s="38"/>
      <c r="L705" s="39"/>
      <c r="M705" s="38"/>
      <c r="N705" s="38"/>
      <c r="O705" s="38"/>
      <c r="P705" s="38"/>
      <c r="Q705" s="38"/>
      <c r="R705" s="38"/>
      <c r="S705" s="38"/>
      <c r="BB705" s="9" t="str">
        <f t="shared" si="39"/>
        <v>Yes</v>
      </c>
      <c r="BC705" s="9" t="e">
        <f>IF(EFB!$N705=Table1[[#This Row],[ProgramTitle]],"Yes","No")</f>
        <v>#VALUE!</v>
      </c>
      <c r="BD705" s="9" t="e">
        <f>IF(EFB!$S705=Table1[[#This Row],[SeriesEpisodeTitle]],"Yes","No")</f>
        <v>#VALUE!</v>
      </c>
      <c r="BE705" s="11">
        <f t="shared" si="37"/>
        <v>0</v>
      </c>
      <c r="BF705" s="11">
        <f t="shared" si="38"/>
        <v>0</v>
      </c>
      <c r="BH705" s="36"/>
    </row>
    <row r="706" spans="3:60" x14ac:dyDescent="0.25">
      <c r="C706" s="35"/>
      <c r="L706" s="39"/>
      <c r="BB706" s="9" t="str">
        <f t="shared" si="39"/>
        <v>Yes</v>
      </c>
      <c r="BC706" s="9" t="e">
        <f>IF(EFB!$N706=Table1[[#This Row],[ProgramTitle]],"Yes","No")</f>
        <v>#VALUE!</v>
      </c>
      <c r="BD706" s="9" t="e">
        <f>IF(EFB!$S706=Table1[[#This Row],[SeriesEpisodeTitle]],"Yes","No")</f>
        <v>#VALUE!</v>
      </c>
      <c r="BE706" s="11">
        <f t="shared" si="37"/>
        <v>0</v>
      </c>
      <c r="BF706" s="11">
        <f t="shared" si="38"/>
        <v>0</v>
      </c>
      <c r="BH706" s="36"/>
    </row>
    <row r="707" spans="3:60" x14ac:dyDescent="0.25">
      <c r="C707" s="35"/>
      <c r="G707" s="38"/>
      <c r="H707" s="38"/>
      <c r="I707" s="38"/>
      <c r="J707" s="38"/>
      <c r="K707" s="38"/>
      <c r="L707" s="39"/>
      <c r="M707" s="38"/>
      <c r="N707" s="38"/>
      <c r="O707" s="38"/>
      <c r="P707" s="38"/>
      <c r="Q707" s="38"/>
      <c r="R707" s="38"/>
      <c r="S707" s="38"/>
      <c r="BB707" s="9" t="str">
        <f t="shared" si="39"/>
        <v>Yes</v>
      </c>
      <c r="BC707" s="9" t="e">
        <f>IF(EFB!$N707=Table1[[#This Row],[ProgramTitle]],"Yes","No")</f>
        <v>#VALUE!</v>
      </c>
      <c r="BD707" s="9" t="e">
        <f>IF(EFB!$S707=Table1[[#This Row],[SeriesEpisodeTitle]],"Yes","No")</f>
        <v>#VALUE!</v>
      </c>
      <c r="BE707" s="11">
        <f t="shared" ref="BE707:BE770" si="40">TIME(HOUR(C707),MINUTE(C707),SECOND(0))</f>
        <v>0</v>
      </c>
      <c r="BF707" s="11">
        <f t="shared" ref="BF707:BF770" si="41">TIME(HOUR(L707),MINUTE(L707),SECOND(0))</f>
        <v>0</v>
      </c>
      <c r="BH707" s="36"/>
    </row>
    <row r="708" spans="3:60" x14ac:dyDescent="0.25">
      <c r="C708" s="35"/>
      <c r="L708" s="39"/>
      <c r="BB708" s="9" t="str">
        <f t="shared" si="39"/>
        <v>Yes</v>
      </c>
      <c r="BC708" s="9" t="e">
        <f>IF(EFB!$N708=Table1[[#This Row],[ProgramTitle]],"Yes","No")</f>
        <v>#VALUE!</v>
      </c>
      <c r="BD708" s="9" t="e">
        <f>IF(EFB!$S708=Table1[[#This Row],[SeriesEpisodeTitle]],"Yes","No")</f>
        <v>#VALUE!</v>
      </c>
      <c r="BE708" s="11">
        <f t="shared" si="40"/>
        <v>0</v>
      </c>
      <c r="BF708" s="11">
        <f t="shared" si="41"/>
        <v>0</v>
      </c>
      <c r="BH708" s="36"/>
    </row>
    <row r="709" spans="3:60" x14ac:dyDescent="0.25">
      <c r="C709" s="35"/>
      <c r="G709" s="38"/>
      <c r="H709" s="38"/>
      <c r="I709" s="38"/>
      <c r="J709" s="38"/>
      <c r="K709" s="38"/>
      <c r="L709" s="39"/>
      <c r="M709" s="38"/>
      <c r="N709" s="38"/>
      <c r="O709" s="38"/>
      <c r="P709" s="38"/>
      <c r="Q709" s="38"/>
      <c r="R709" s="38"/>
      <c r="S709" s="38"/>
      <c r="BB709" s="9" t="str">
        <f t="shared" si="39"/>
        <v>Yes</v>
      </c>
      <c r="BC709" s="9" t="e">
        <f>IF(EFB!$N709=Table1[[#This Row],[ProgramTitle]],"Yes","No")</f>
        <v>#VALUE!</v>
      </c>
      <c r="BD709" s="9" t="e">
        <f>IF(EFB!$S709=Table1[[#This Row],[SeriesEpisodeTitle]],"Yes","No")</f>
        <v>#VALUE!</v>
      </c>
      <c r="BE709" s="11">
        <f t="shared" si="40"/>
        <v>0</v>
      </c>
      <c r="BF709" s="11">
        <f t="shared" si="41"/>
        <v>0</v>
      </c>
      <c r="BH709" s="36"/>
    </row>
    <row r="710" spans="3:60" x14ac:dyDescent="0.25">
      <c r="C710" s="35"/>
      <c r="L710" s="39"/>
      <c r="BB710" s="9" t="str">
        <f t="shared" si="39"/>
        <v>Yes</v>
      </c>
      <c r="BC710" s="9" t="e">
        <f>IF(EFB!$N710=Table1[[#This Row],[ProgramTitle]],"Yes","No")</f>
        <v>#VALUE!</v>
      </c>
      <c r="BD710" s="9" t="e">
        <f>IF(EFB!$S710=Table1[[#This Row],[SeriesEpisodeTitle]],"Yes","No")</f>
        <v>#VALUE!</v>
      </c>
      <c r="BE710" s="11">
        <f t="shared" si="40"/>
        <v>0</v>
      </c>
      <c r="BF710" s="11">
        <f t="shared" si="41"/>
        <v>0</v>
      </c>
      <c r="BH710" s="36"/>
    </row>
    <row r="711" spans="3:60" x14ac:dyDescent="0.25">
      <c r="C711" s="35"/>
      <c r="G711" s="38"/>
      <c r="H711" s="38"/>
      <c r="I711" s="38"/>
      <c r="J711" s="38"/>
      <c r="K711" s="38"/>
      <c r="L711" s="39"/>
      <c r="M711" s="38"/>
      <c r="N711" s="38"/>
      <c r="O711" s="38"/>
      <c r="P711" s="38"/>
      <c r="Q711" s="38"/>
      <c r="R711" s="38"/>
      <c r="S711" s="38"/>
      <c r="BB711" s="9" t="str">
        <f t="shared" si="39"/>
        <v>Yes</v>
      </c>
      <c r="BC711" s="9" t="e">
        <f>IF(EFB!$N711=Table1[[#This Row],[ProgramTitle]],"Yes","No")</f>
        <v>#VALUE!</v>
      </c>
      <c r="BD711" s="9" t="e">
        <f>IF(EFB!$S711=Table1[[#This Row],[SeriesEpisodeTitle]],"Yes","No")</f>
        <v>#VALUE!</v>
      </c>
      <c r="BE711" s="11">
        <f t="shared" si="40"/>
        <v>0</v>
      </c>
      <c r="BF711" s="11">
        <f t="shared" si="41"/>
        <v>0</v>
      </c>
      <c r="BH711" s="36"/>
    </row>
    <row r="712" spans="3:60" x14ac:dyDescent="0.25">
      <c r="C712" s="35"/>
      <c r="L712" s="39"/>
      <c r="BB712" s="9" t="str">
        <f t="shared" si="39"/>
        <v>Yes</v>
      </c>
      <c r="BC712" s="9" t="e">
        <f>IF(EFB!$N712=Table1[[#This Row],[ProgramTitle]],"Yes","No")</f>
        <v>#VALUE!</v>
      </c>
      <c r="BD712" s="9" t="e">
        <f>IF(EFB!$S712=Table1[[#This Row],[SeriesEpisodeTitle]],"Yes","No")</f>
        <v>#VALUE!</v>
      </c>
      <c r="BE712" s="11">
        <f t="shared" si="40"/>
        <v>0</v>
      </c>
      <c r="BF712" s="11">
        <f t="shared" si="41"/>
        <v>0</v>
      </c>
      <c r="BH712" s="36"/>
    </row>
    <row r="713" spans="3:60" x14ac:dyDescent="0.25">
      <c r="C713" s="35"/>
      <c r="G713" s="38"/>
      <c r="H713" s="38"/>
      <c r="I713" s="38"/>
      <c r="J713" s="38"/>
      <c r="K713" s="38"/>
      <c r="L713" s="39"/>
      <c r="M713" s="38"/>
      <c r="N713" s="38"/>
      <c r="O713" s="38"/>
      <c r="P713" s="38"/>
      <c r="Q713" s="38"/>
      <c r="R713" s="38"/>
      <c r="S713" s="38"/>
      <c r="BB713" s="9" t="str">
        <f t="shared" si="39"/>
        <v>Yes</v>
      </c>
      <c r="BC713" s="9" t="e">
        <f>IF(EFB!$N713=Table1[[#This Row],[ProgramTitle]],"Yes","No")</f>
        <v>#VALUE!</v>
      </c>
      <c r="BD713" s="9" t="e">
        <f>IF(EFB!$S713=Table1[[#This Row],[SeriesEpisodeTitle]],"Yes","No")</f>
        <v>#VALUE!</v>
      </c>
      <c r="BE713" s="11">
        <f t="shared" si="40"/>
        <v>0</v>
      </c>
      <c r="BF713" s="11">
        <f t="shared" si="41"/>
        <v>0</v>
      </c>
      <c r="BH713" s="36"/>
    </row>
    <row r="714" spans="3:60" x14ac:dyDescent="0.25">
      <c r="C714" s="35"/>
      <c r="L714" s="39"/>
      <c r="BB714" s="9" t="str">
        <f t="shared" si="39"/>
        <v>Yes</v>
      </c>
      <c r="BC714" s="9" t="e">
        <f>IF(EFB!$N714=Table1[[#This Row],[ProgramTitle]],"Yes","No")</f>
        <v>#VALUE!</v>
      </c>
      <c r="BD714" s="9" t="e">
        <f>IF(EFB!$S714=Table1[[#This Row],[SeriesEpisodeTitle]],"Yes","No")</f>
        <v>#VALUE!</v>
      </c>
      <c r="BE714" s="11">
        <f t="shared" si="40"/>
        <v>0</v>
      </c>
      <c r="BF714" s="11">
        <f t="shared" si="41"/>
        <v>0</v>
      </c>
      <c r="BH714" s="36"/>
    </row>
    <row r="715" spans="3:60" x14ac:dyDescent="0.25">
      <c r="C715" s="35"/>
      <c r="G715" s="38"/>
      <c r="H715" s="38"/>
      <c r="I715" s="38"/>
      <c r="J715" s="38"/>
      <c r="K715" s="38"/>
      <c r="L715" s="39"/>
      <c r="M715" s="38"/>
      <c r="N715" s="38"/>
      <c r="O715" s="38"/>
      <c r="P715" s="38"/>
      <c r="Q715" s="38"/>
      <c r="R715" s="38"/>
      <c r="S715" s="38"/>
      <c r="BB715" s="9" t="str">
        <f t="shared" si="39"/>
        <v>Yes</v>
      </c>
      <c r="BC715" s="9" t="e">
        <f>IF(EFB!$N715=Table1[[#This Row],[ProgramTitle]],"Yes","No")</f>
        <v>#VALUE!</v>
      </c>
      <c r="BD715" s="9" t="e">
        <f>IF(EFB!$S715=Table1[[#This Row],[SeriesEpisodeTitle]],"Yes","No")</f>
        <v>#VALUE!</v>
      </c>
      <c r="BE715" s="11">
        <f t="shared" si="40"/>
        <v>0</v>
      </c>
      <c r="BF715" s="11">
        <f t="shared" si="41"/>
        <v>0</v>
      </c>
      <c r="BH715" s="36"/>
    </row>
    <row r="716" spans="3:60" x14ac:dyDescent="0.25">
      <c r="C716" s="35"/>
      <c r="L716" s="39"/>
      <c r="BB716" s="9" t="str">
        <f t="shared" si="39"/>
        <v>Yes</v>
      </c>
      <c r="BC716" s="9" t="e">
        <f>IF(EFB!$N716=Table1[[#This Row],[ProgramTitle]],"Yes","No")</f>
        <v>#VALUE!</v>
      </c>
      <c r="BD716" s="9" t="e">
        <f>IF(EFB!$S716=Table1[[#This Row],[SeriesEpisodeTitle]],"Yes","No")</f>
        <v>#VALUE!</v>
      </c>
      <c r="BE716" s="11">
        <f t="shared" si="40"/>
        <v>0</v>
      </c>
      <c r="BF716" s="11">
        <f t="shared" si="41"/>
        <v>0</v>
      </c>
      <c r="BH716" s="36"/>
    </row>
    <row r="717" spans="3:60" x14ac:dyDescent="0.25">
      <c r="C717" s="35"/>
      <c r="G717" s="38"/>
      <c r="H717" s="38"/>
      <c r="I717" s="38"/>
      <c r="J717" s="38"/>
      <c r="K717" s="38"/>
      <c r="L717" s="39"/>
      <c r="M717" s="38"/>
      <c r="N717" s="38"/>
      <c r="O717" s="38"/>
      <c r="P717" s="38"/>
      <c r="Q717" s="38"/>
      <c r="R717" s="38"/>
      <c r="S717" s="38"/>
      <c r="BB717" s="9" t="str">
        <f t="shared" si="39"/>
        <v>Yes</v>
      </c>
      <c r="BC717" s="9" t="e">
        <f>IF(EFB!$N717=Table1[[#This Row],[ProgramTitle]],"Yes","No")</f>
        <v>#VALUE!</v>
      </c>
      <c r="BD717" s="9" t="e">
        <f>IF(EFB!$S717=Table1[[#This Row],[SeriesEpisodeTitle]],"Yes","No")</f>
        <v>#VALUE!</v>
      </c>
      <c r="BE717" s="11">
        <f t="shared" si="40"/>
        <v>0</v>
      </c>
      <c r="BF717" s="11">
        <f t="shared" si="41"/>
        <v>0</v>
      </c>
      <c r="BH717" s="36"/>
    </row>
    <row r="718" spans="3:60" x14ac:dyDescent="0.25">
      <c r="C718" s="35"/>
      <c r="L718" s="39"/>
      <c r="BB718" s="9" t="str">
        <f t="shared" si="39"/>
        <v>Yes</v>
      </c>
      <c r="BC718" s="9" t="e">
        <f>IF(EFB!$N718=Table1[[#This Row],[ProgramTitle]],"Yes","No")</f>
        <v>#VALUE!</v>
      </c>
      <c r="BD718" s="9" t="e">
        <f>IF(EFB!$S718=Table1[[#This Row],[SeriesEpisodeTitle]],"Yes","No")</f>
        <v>#VALUE!</v>
      </c>
      <c r="BE718" s="11">
        <f t="shared" si="40"/>
        <v>0</v>
      </c>
      <c r="BF718" s="11">
        <f t="shared" si="41"/>
        <v>0</v>
      </c>
      <c r="BH718" s="36"/>
    </row>
    <row r="719" spans="3:60" x14ac:dyDescent="0.25">
      <c r="C719" s="35"/>
      <c r="G719" s="38"/>
      <c r="H719" s="38"/>
      <c r="I719" s="38"/>
      <c r="J719" s="38"/>
      <c r="K719" s="38"/>
      <c r="L719" s="39"/>
      <c r="M719" s="38"/>
      <c r="N719" s="38"/>
      <c r="O719" s="38"/>
      <c r="P719" s="38"/>
      <c r="Q719" s="38"/>
      <c r="R719" s="38"/>
      <c r="S719" s="38"/>
      <c r="BB719" s="9" t="str">
        <f t="shared" si="39"/>
        <v>Yes</v>
      </c>
      <c r="BC719" s="9" t="e">
        <f>IF(EFB!$N719=Table1[[#This Row],[ProgramTitle]],"Yes","No")</f>
        <v>#VALUE!</v>
      </c>
      <c r="BD719" s="9" t="e">
        <f>IF(EFB!$S719=Table1[[#This Row],[SeriesEpisodeTitle]],"Yes","No")</f>
        <v>#VALUE!</v>
      </c>
      <c r="BE719" s="11">
        <f t="shared" si="40"/>
        <v>0</v>
      </c>
      <c r="BF719" s="11">
        <f t="shared" si="41"/>
        <v>0</v>
      </c>
      <c r="BH719" s="36"/>
    </row>
    <row r="720" spans="3:60" x14ac:dyDescent="0.25">
      <c r="C720" s="35"/>
      <c r="L720" s="39"/>
      <c r="BB720" s="9" t="str">
        <f t="shared" si="39"/>
        <v>Yes</v>
      </c>
      <c r="BC720" s="9" t="e">
        <f>IF(EFB!$N720=Table1[[#This Row],[ProgramTitle]],"Yes","No")</f>
        <v>#VALUE!</v>
      </c>
      <c r="BD720" s="9" t="e">
        <f>IF(EFB!$S720=Table1[[#This Row],[SeriesEpisodeTitle]],"Yes","No")</f>
        <v>#VALUE!</v>
      </c>
      <c r="BE720" s="11">
        <f t="shared" si="40"/>
        <v>0</v>
      </c>
      <c r="BF720" s="11">
        <f t="shared" si="41"/>
        <v>0</v>
      </c>
      <c r="BH720" s="36"/>
    </row>
    <row r="721" spans="3:60" x14ac:dyDescent="0.25">
      <c r="C721" s="35"/>
      <c r="G721" s="38"/>
      <c r="H721" s="38"/>
      <c r="I721" s="38"/>
      <c r="J721" s="38"/>
      <c r="K721" s="38"/>
      <c r="L721" s="39"/>
      <c r="M721" s="38"/>
      <c r="N721" s="38"/>
      <c r="O721" s="38"/>
      <c r="P721" s="38"/>
      <c r="Q721" s="38"/>
      <c r="R721" s="38"/>
      <c r="S721" s="38"/>
      <c r="BB721" s="9" t="str">
        <f t="shared" si="39"/>
        <v>Yes</v>
      </c>
      <c r="BC721" s="9" t="e">
        <f>IF(EFB!$N721=Table1[[#This Row],[ProgramTitle]],"Yes","No")</f>
        <v>#VALUE!</v>
      </c>
      <c r="BD721" s="9" t="e">
        <f>IF(EFB!$S721=Table1[[#This Row],[SeriesEpisodeTitle]],"Yes","No")</f>
        <v>#VALUE!</v>
      </c>
      <c r="BE721" s="11">
        <f t="shared" si="40"/>
        <v>0</v>
      </c>
      <c r="BF721" s="11">
        <f t="shared" si="41"/>
        <v>0</v>
      </c>
      <c r="BH721" s="36"/>
    </row>
    <row r="722" spans="3:60" x14ac:dyDescent="0.25">
      <c r="C722" s="35"/>
      <c r="L722" s="39"/>
      <c r="BB722" s="9" t="str">
        <f t="shared" si="39"/>
        <v>Yes</v>
      </c>
      <c r="BC722" s="9" t="e">
        <f>IF(EFB!$N722=Table1[[#This Row],[ProgramTitle]],"Yes","No")</f>
        <v>#VALUE!</v>
      </c>
      <c r="BD722" s="9" t="e">
        <f>IF(EFB!$S722=Table1[[#This Row],[SeriesEpisodeTitle]],"Yes","No")</f>
        <v>#VALUE!</v>
      </c>
      <c r="BE722" s="11">
        <f t="shared" si="40"/>
        <v>0</v>
      </c>
      <c r="BF722" s="11">
        <f t="shared" si="41"/>
        <v>0</v>
      </c>
      <c r="BH722" s="36"/>
    </row>
    <row r="723" spans="3:60" x14ac:dyDescent="0.25">
      <c r="C723" s="35"/>
      <c r="G723" s="38"/>
      <c r="H723" s="38"/>
      <c r="I723" s="38"/>
      <c r="J723" s="38"/>
      <c r="K723" s="38"/>
      <c r="L723" s="39"/>
      <c r="M723" s="38"/>
      <c r="N723" s="38"/>
      <c r="O723" s="38"/>
      <c r="P723" s="38"/>
      <c r="Q723" s="38"/>
      <c r="R723" s="38"/>
      <c r="S723" s="38"/>
      <c r="BB723" s="9" t="str">
        <f t="shared" si="39"/>
        <v>Yes</v>
      </c>
      <c r="BC723" s="9" t="e">
        <f>IF(EFB!$N723=Table1[[#This Row],[ProgramTitle]],"Yes","No")</f>
        <v>#VALUE!</v>
      </c>
      <c r="BD723" s="9" t="e">
        <f>IF(EFB!$S723=Table1[[#This Row],[SeriesEpisodeTitle]],"Yes","No")</f>
        <v>#VALUE!</v>
      </c>
      <c r="BE723" s="11">
        <f t="shared" si="40"/>
        <v>0</v>
      </c>
      <c r="BF723" s="11">
        <f t="shared" si="41"/>
        <v>0</v>
      </c>
      <c r="BH723" s="36"/>
    </row>
    <row r="724" spans="3:60" x14ac:dyDescent="0.25">
      <c r="C724" s="35"/>
      <c r="L724" s="39"/>
      <c r="BB724" s="9" t="str">
        <f t="shared" si="39"/>
        <v>Yes</v>
      </c>
      <c r="BC724" s="9" t="e">
        <f>IF(EFB!$N724=Table1[[#This Row],[ProgramTitle]],"Yes","No")</f>
        <v>#VALUE!</v>
      </c>
      <c r="BD724" s="9" t="e">
        <f>IF(EFB!$S724=Table1[[#This Row],[SeriesEpisodeTitle]],"Yes","No")</f>
        <v>#VALUE!</v>
      </c>
      <c r="BE724" s="11">
        <f t="shared" si="40"/>
        <v>0</v>
      </c>
      <c r="BF724" s="11">
        <f t="shared" si="41"/>
        <v>0</v>
      </c>
      <c r="BH724" s="36"/>
    </row>
    <row r="725" spans="3:60" x14ac:dyDescent="0.25">
      <c r="C725" s="35"/>
      <c r="G725" s="38"/>
      <c r="H725" s="38"/>
      <c r="I725" s="38"/>
      <c r="J725" s="38"/>
      <c r="K725" s="38"/>
      <c r="L725" s="39"/>
      <c r="M725" s="38"/>
      <c r="N725" s="38"/>
      <c r="O725" s="38"/>
      <c r="P725" s="38"/>
      <c r="Q725" s="38"/>
      <c r="R725" s="38"/>
      <c r="S725" s="38"/>
      <c r="BB725" s="9" t="str">
        <f t="shared" si="39"/>
        <v>Yes</v>
      </c>
      <c r="BC725" s="9" t="e">
        <f>IF(EFB!$N725=Table1[[#This Row],[ProgramTitle]],"Yes","No")</f>
        <v>#VALUE!</v>
      </c>
      <c r="BD725" s="9" t="e">
        <f>IF(EFB!$S725=Table1[[#This Row],[SeriesEpisodeTitle]],"Yes","No")</f>
        <v>#VALUE!</v>
      </c>
      <c r="BE725" s="11">
        <f t="shared" si="40"/>
        <v>0</v>
      </c>
      <c r="BF725" s="11">
        <f t="shared" si="41"/>
        <v>0</v>
      </c>
      <c r="BH725" s="36"/>
    </row>
    <row r="726" spans="3:60" x14ac:dyDescent="0.25">
      <c r="C726" s="35"/>
      <c r="L726" s="39"/>
      <c r="BB726" s="9" t="str">
        <f t="shared" si="39"/>
        <v>Yes</v>
      </c>
      <c r="BC726" s="9" t="e">
        <f>IF(EFB!$N726=Table1[[#This Row],[ProgramTitle]],"Yes","No")</f>
        <v>#VALUE!</v>
      </c>
      <c r="BD726" s="9" t="e">
        <f>IF(EFB!$S726=Table1[[#This Row],[SeriesEpisodeTitle]],"Yes","No")</f>
        <v>#VALUE!</v>
      </c>
      <c r="BE726" s="11">
        <f t="shared" si="40"/>
        <v>0</v>
      </c>
      <c r="BF726" s="11">
        <f t="shared" si="41"/>
        <v>0</v>
      </c>
      <c r="BH726" s="36"/>
    </row>
    <row r="727" spans="3:60" x14ac:dyDescent="0.25">
      <c r="C727" s="35"/>
      <c r="G727" s="38"/>
      <c r="H727" s="38"/>
      <c r="I727" s="38"/>
      <c r="J727" s="38"/>
      <c r="K727" s="38"/>
      <c r="L727" s="39"/>
      <c r="M727" s="38"/>
      <c r="N727" s="38"/>
      <c r="O727" s="38"/>
      <c r="P727" s="38"/>
      <c r="Q727" s="38"/>
      <c r="R727" s="38"/>
      <c r="S727" s="38"/>
      <c r="BB727" s="9" t="str">
        <f t="shared" si="39"/>
        <v>Yes</v>
      </c>
      <c r="BC727" s="9" t="e">
        <f>IF(EFB!$N727=Table1[[#This Row],[ProgramTitle]],"Yes","No")</f>
        <v>#VALUE!</v>
      </c>
      <c r="BD727" s="9" t="e">
        <f>IF(EFB!$S727=Table1[[#This Row],[SeriesEpisodeTitle]],"Yes","No")</f>
        <v>#VALUE!</v>
      </c>
      <c r="BE727" s="11">
        <f t="shared" si="40"/>
        <v>0</v>
      </c>
      <c r="BF727" s="11">
        <f t="shared" si="41"/>
        <v>0</v>
      </c>
      <c r="BH727" s="36"/>
    </row>
    <row r="728" spans="3:60" x14ac:dyDescent="0.25">
      <c r="C728" s="35"/>
      <c r="L728" s="39"/>
      <c r="BB728" s="9" t="str">
        <f t="shared" si="39"/>
        <v>Yes</v>
      </c>
      <c r="BC728" s="9" t="e">
        <f>IF(EFB!$N728=Table1[[#This Row],[ProgramTitle]],"Yes","No")</f>
        <v>#VALUE!</v>
      </c>
      <c r="BD728" s="9" t="e">
        <f>IF(EFB!$S728=Table1[[#This Row],[SeriesEpisodeTitle]],"Yes","No")</f>
        <v>#VALUE!</v>
      </c>
      <c r="BE728" s="11">
        <f t="shared" si="40"/>
        <v>0</v>
      </c>
      <c r="BF728" s="11">
        <f t="shared" si="41"/>
        <v>0</v>
      </c>
      <c r="BH728" s="36"/>
    </row>
    <row r="729" spans="3:60" x14ac:dyDescent="0.25">
      <c r="C729" s="35"/>
      <c r="G729" s="38"/>
      <c r="H729" s="38"/>
      <c r="I729" s="38"/>
      <c r="J729" s="38"/>
      <c r="K729" s="38"/>
      <c r="L729" s="39"/>
      <c r="M729" s="38"/>
      <c r="N729" s="38"/>
      <c r="O729" s="38"/>
      <c r="P729" s="38"/>
      <c r="Q729" s="38"/>
      <c r="R729" s="38"/>
      <c r="S729" s="38"/>
      <c r="BB729" s="9" t="str">
        <f t="shared" si="39"/>
        <v>Yes</v>
      </c>
      <c r="BC729" s="9" t="e">
        <f>IF(EFB!$N729=Table1[[#This Row],[ProgramTitle]],"Yes","No")</f>
        <v>#VALUE!</v>
      </c>
      <c r="BD729" s="9" t="e">
        <f>IF(EFB!$S729=Table1[[#This Row],[SeriesEpisodeTitle]],"Yes","No")</f>
        <v>#VALUE!</v>
      </c>
      <c r="BE729" s="11">
        <f t="shared" si="40"/>
        <v>0</v>
      </c>
      <c r="BF729" s="11">
        <f t="shared" si="41"/>
        <v>0</v>
      </c>
      <c r="BH729" s="36"/>
    </row>
    <row r="730" spans="3:60" x14ac:dyDescent="0.25">
      <c r="C730" s="35"/>
      <c r="L730" s="39"/>
      <c r="BB730" s="9" t="str">
        <f t="shared" si="39"/>
        <v>Yes</v>
      </c>
      <c r="BC730" s="9" t="e">
        <f>IF(EFB!$N730=Table1[[#This Row],[ProgramTitle]],"Yes","No")</f>
        <v>#VALUE!</v>
      </c>
      <c r="BD730" s="9" t="e">
        <f>IF(EFB!$S730=Table1[[#This Row],[SeriesEpisodeTitle]],"Yes","No")</f>
        <v>#VALUE!</v>
      </c>
      <c r="BE730" s="11">
        <f t="shared" si="40"/>
        <v>0</v>
      </c>
      <c r="BF730" s="11">
        <f t="shared" si="41"/>
        <v>0</v>
      </c>
      <c r="BH730" s="36"/>
    </row>
    <row r="731" spans="3:60" x14ac:dyDescent="0.25">
      <c r="C731" s="35"/>
      <c r="G731" s="38"/>
      <c r="H731" s="38"/>
      <c r="I731" s="38"/>
      <c r="J731" s="38"/>
      <c r="K731" s="38"/>
      <c r="L731" s="39"/>
      <c r="M731" s="38"/>
      <c r="N731" s="38"/>
      <c r="O731" s="38"/>
      <c r="P731" s="38"/>
      <c r="Q731" s="38"/>
      <c r="R731" s="38"/>
      <c r="S731" s="38"/>
      <c r="BB731" s="9" t="str">
        <f t="shared" si="39"/>
        <v>Yes</v>
      </c>
      <c r="BC731" s="9" t="e">
        <f>IF(EFB!$N731=Table1[[#This Row],[ProgramTitle]],"Yes","No")</f>
        <v>#VALUE!</v>
      </c>
      <c r="BD731" s="9" t="e">
        <f>IF(EFB!$S731=Table1[[#This Row],[SeriesEpisodeTitle]],"Yes","No")</f>
        <v>#VALUE!</v>
      </c>
      <c r="BE731" s="11">
        <f t="shared" si="40"/>
        <v>0</v>
      </c>
      <c r="BF731" s="11">
        <f t="shared" si="41"/>
        <v>0</v>
      </c>
      <c r="BH731" s="36"/>
    </row>
    <row r="732" spans="3:60" x14ac:dyDescent="0.25">
      <c r="C732" s="35"/>
      <c r="L732" s="39"/>
      <c r="BB732" s="9" t="str">
        <f t="shared" si="39"/>
        <v>Yes</v>
      </c>
      <c r="BC732" s="9" t="e">
        <f>IF(EFB!$N732=Table1[[#This Row],[ProgramTitle]],"Yes","No")</f>
        <v>#VALUE!</v>
      </c>
      <c r="BD732" s="9" t="e">
        <f>IF(EFB!$S732=Table1[[#This Row],[SeriesEpisodeTitle]],"Yes","No")</f>
        <v>#VALUE!</v>
      </c>
      <c r="BE732" s="11">
        <f t="shared" si="40"/>
        <v>0</v>
      </c>
      <c r="BF732" s="11">
        <f t="shared" si="41"/>
        <v>0</v>
      </c>
      <c r="BH732" s="36"/>
    </row>
    <row r="733" spans="3:60" x14ac:dyDescent="0.25">
      <c r="C733" s="35"/>
      <c r="G733" s="38"/>
      <c r="H733" s="38"/>
      <c r="I733" s="38"/>
      <c r="J733" s="38"/>
      <c r="K733" s="38"/>
      <c r="L733" s="39"/>
      <c r="M733" s="38"/>
      <c r="N733" s="38"/>
      <c r="O733" s="38"/>
      <c r="P733" s="38"/>
      <c r="Q733" s="38"/>
      <c r="R733" s="38"/>
      <c r="S733" s="38"/>
      <c r="BB733" s="9" t="str">
        <f t="shared" si="39"/>
        <v>Yes</v>
      </c>
      <c r="BC733" s="9" t="e">
        <f>IF(EFB!$N733=Table1[[#This Row],[ProgramTitle]],"Yes","No")</f>
        <v>#VALUE!</v>
      </c>
      <c r="BD733" s="9" t="e">
        <f>IF(EFB!$S733=Table1[[#This Row],[SeriesEpisodeTitle]],"Yes","No")</f>
        <v>#VALUE!</v>
      </c>
      <c r="BE733" s="11">
        <f t="shared" si="40"/>
        <v>0</v>
      </c>
      <c r="BF733" s="11">
        <f t="shared" si="41"/>
        <v>0</v>
      </c>
      <c r="BH733" s="36"/>
    </row>
    <row r="734" spans="3:60" x14ac:dyDescent="0.25">
      <c r="C734" s="35"/>
      <c r="L734" s="39"/>
      <c r="BB734" s="9" t="str">
        <f t="shared" si="39"/>
        <v>Yes</v>
      </c>
      <c r="BC734" s="9" t="e">
        <f>IF(EFB!$N734=Table1[[#This Row],[ProgramTitle]],"Yes","No")</f>
        <v>#VALUE!</v>
      </c>
      <c r="BD734" s="9" t="e">
        <f>IF(EFB!$S734=Table1[[#This Row],[SeriesEpisodeTitle]],"Yes","No")</f>
        <v>#VALUE!</v>
      </c>
      <c r="BE734" s="11">
        <f t="shared" si="40"/>
        <v>0</v>
      </c>
      <c r="BF734" s="11">
        <f t="shared" si="41"/>
        <v>0</v>
      </c>
      <c r="BH734" s="36"/>
    </row>
    <row r="735" spans="3:60" x14ac:dyDescent="0.25">
      <c r="C735" s="35"/>
      <c r="G735" s="38"/>
      <c r="H735" s="38"/>
      <c r="I735" s="38"/>
      <c r="J735" s="38"/>
      <c r="K735" s="38"/>
      <c r="L735" s="39"/>
      <c r="M735" s="38"/>
      <c r="N735" s="38"/>
      <c r="O735" s="38"/>
      <c r="P735" s="38"/>
      <c r="Q735" s="38"/>
      <c r="R735" s="38"/>
      <c r="S735" s="38"/>
      <c r="BB735" s="9" t="str">
        <f t="shared" si="39"/>
        <v>Yes</v>
      </c>
      <c r="BC735" s="9" t="e">
        <f>IF(EFB!$N735=Table1[[#This Row],[ProgramTitle]],"Yes","No")</f>
        <v>#VALUE!</v>
      </c>
      <c r="BD735" s="9" t="e">
        <f>IF(EFB!$S735=Table1[[#This Row],[SeriesEpisodeTitle]],"Yes","No")</f>
        <v>#VALUE!</v>
      </c>
      <c r="BE735" s="11">
        <f t="shared" si="40"/>
        <v>0</v>
      </c>
      <c r="BF735" s="11">
        <f t="shared" si="41"/>
        <v>0</v>
      </c>
      <c r="BH735" s="36"/>
    </row>
    <row r="736" spans="3:60" x14ac:dyDescent="0.25">
      <c r="C736" s="35"/>
      <c r="L736" s="39"/>
      <c r="BB736" s="9" t="str">
        <f t="shared" si="39"/>
        <v>Yes</v>
      </c>
      <c r="BC736" s="9" t="e">
        <f>IF(EFB!$N736=Table1[[#This Row],[ProgramTitle]],"Yes","No")</f>
        <v>#VALUE!</v>
      </c>
      <c r="BD736" s="9" t="e">
        <f>IF(EFB!$S736=Table1[[#This Row],[SeriesEpisodeTitle]],"Yes","No")</f>
        <v>#VALUE!</v>
      </c>
      <c r="BE736" s="11">
        <f t="shared" si="40"/>
        <v>0</v>
      </c>
      <c r="BF736" s="11">
        <f t="shared" si="41"/>
        <v>0</v>
      </c>
      <c r="BH736" s="36"/>
    </row>
    <row r="737" spans="3:60" x14ac:dyDescent="0.25">
      <c r="C737" s="35"/>
      <c r="G737" s="38"/>
      <c r="H737" s="38"/>
      <c r="I737" s="38"/>
      <c r="J737" s="38"/>
      <c r="K737" s="38"/>
      <c r="L737" s="39"/>
      <c r="M737" s="38"/>
      <c r="N737" s="38"/>
      <c r="O737" s="38"/>
      <c r="P737" s="38"/>
      <c r="Q737" s="38"/>
      <c r="R737" s="38"/>
      <c r="S737" s="38"/>
      <c r="BB737" s="9" t="str">
        <f t="shared" si="39"/>
        <v>Yes</v>
      </c>
      <c r="BC737" s="9" t="e">
        <f>IF(EFB!$N737=Table1[[#This Row],[ProgramTitle]],"Yes","No")</f>
        <v>#VALUE!</v>
      </c>
      <c r="BD737" s="9" t="e">
        <f>IF(EFB!$S737=Table1[[#This Row],[SeriesEpisodeTitle]],"Yes","No")</f>
        <v>#VALUE!</v>
      </c>
      <c r="BE737" s="11">
        <f t="shared" si="40"/>
        <v>0</v>
      </c>
      <c r="BF737" s="11">
        <f t="shared" si="41"/>
        <v>0</v>
      </c>
      <c r="BH737" s="36"/>
    </row>
    <row r="738" spans="3:60" x14ac:dyDescent="0.25">
      <c r="C738" s="35"/>
      <c r="L738" s="39"/>
      <c r="BB738" s="9" t="str">
        <f t="shared" si="39"/>
        <v>Yes</v>
      </c>
      <c r="BC738" s="9" t="e">
        <f>IF(EFB!$N738=Table1[[#This Row],[ProgramTitle]],"Yes","No")</f>
        <v>#VALUE!</v>
      </c>
      <c r="BD738" s="9" t="e">
        <f>IF(EFB!$S738=Table1[[#This Row],[SeriesEpisodeTitle]],"Yes","No")</f>
        <v>#VALUE!</v>
      </c>
      <c r="BE738" s="11">
        <f t="shared" si="40"/>
        <v>0</v>
      </c>
      <c r="BF738" s="11">
        <f t="shared" si="41"/>
        <v>0</v>
      </c>
      <c r="BH738" s="36"/>
    </row>
    <row r="739" spans="3:60" x14ac:dyDescent="0.25">
      <c r="C739" s="35"/>
      <c r="G739" s="38"/>
      <c r="H739" s="38"/>
      <c r="I739" s="38"/>
      <c r="J739" s="38"/>
      <c r="K739" s="38"/>
      <c r="L739" s="39"/>
      <c r="M739" s="38"/>
      <c r="N739" s="38"/>
      <c r="O739" s="38"/>
      <c r="P739" s="38"/>
      <c r="Q739" s="38"/>
      <c r="R739" s="38"/>
      <c r="S739" s="38"/>
      <c r="BB739" s="9" t="str">
        <f t="shared" si="39"/>
        <v>Yes</v>
      </c>
      <c r="BC739" s="9" t="e">
        <f>IF(EFB!$N739=Table1[[#This Row],[ProgramTitle]],"Yes","No")</f>
        <v>#VALUE!</v>
      </c>
      <c r="BD739" s="9" t="e">
        <f>IF(EFB!$S739=Table1[[#This Row],[SeriesEpisodeTitle]],"Yes","No")</f>
        <v>#VALUE!</v>
      </c>
      <c r="BE739" s="11">
        <f t="shared" si="40"/>
        <v>0</v>
      </c>
      <c r="BF739" s="11">
        <f t="shared" si="41"/>
        <v>0</v>
      </c>
      <c r="BH739" s="36"/>
    </row>
    <row r="740" spans="3:60" x14ac:dyDescent="0.25">
      <c r="C740" s="35"/>
      <c r="L740" s="39"/>
      <c r="BB740" s="9" t="str">
        <f t="shared" si="39"/>
        <v>Yes</v>
      </c>
      <c r="BC740" s="9" t="e">
        <f>IF(EFB!$N740=Table1[[#This Row],[ProgramTitle]],"Yes","No")</f>
        <v>#VALUE!</v>
      </c>
      <c r="BD740" s="9" t="e">
        <f>IF(EFB!$S740=Table1[[#This Row],[SeriesEpisodeTitle]],"Yes","No")</f>
        <v>#VALUE!</v>
      </c>
      <c r="BE740" s="11">
        <f t="shared" si="40"/>
        <v>0</v>
      </c>
      <c r="BF740" s="11">
        <f t="shared" si="41"/>
        <v>0</v>
      </c>
      <c r="BH740" s="36"/>
    </row>
    <row r="741" spans="3:60" x14ac:dyDescent="0.25">
      <c r="C741" s="35"/>
      <c r="G741" s="38"/>
      <c r="H741" s="38"/>
      <c r="I741" s="38"/>
      <c r="J741" s="38"/>
      <c r="K741" s="38"/>
      <c r="L741" s="39"/>
      <c r="M741" s="38"/>
      <c r="N741" s="38"/>
      <c r="O741" s="38"/>
      <c r="P741" s="38"/>
      <c r="Q741" s="38"/>
      <c r="R741" s="38"/>
      <c r="S741" s="38"/>
      <c r="BB741" s="9" t="str">
        <f t="shared" si="39"/>
        <v>Yes</v>
      </c>
      <c r="BC741" s="9" t="e">
        <f>IF(EFB!$N741=Table1[[#This Row],[ProgramTitle]],"Yes","No")</f>
        <v>#VALUE!</v>
      </c>
      <c r="BD741" s="9" t="e">
        <f>IF(EFB!$S741=Table1[[#This Row],[SeriesEpisodeTitle]],"Yes","No")</f>
        <v>#VALUE!</v>
      </c>
      <c r="BE741" s="11">
        <f t="shared" si="40"/>
        <v>0</v>
      </c>
      <c r="BF741" s="11">
        <f t="shared" si="41"/>
        <v>0</v>
      </c>
      <c r="BH741" s="36"/>
    </row>
    <row r="742" spans="3:60" x14ac:dyDescent="0.25">
      <c r="C742" s="35"/>
      <c r="L742" s="39"/>
      <c r="BB742" s="9" t="str">
        <f t="shared" si="39"/>
        <v>Yes</v>
      </c>
      <c r="BC742" s="9" t="e">
        <f>IF(EFB!$N742=Table1[[#This Row],[ProgramTitle]],"Yes","No")</f>
        <v>#VALUE!</v>
      </c>
      <c r="BD742" s="9" t="e">
        <f>IF(EFB!$S742=Table1[[#This Row],[SeriesEpisodeTitle]],"Yes","No")</f>
        <v>#VALUE!</v>
      </c>
      <c r="BE742" s="11">
        <f t="shared" si="40"/>
        <v>0</v>
      </c>
      <c r="BF742" s="11">
        <f t="shared" si="41"/>
        <v>0</v>
      </c>
      <c r="BH742" s="36"/>
    </row>
    <row r="743" spans="3:60" x14ac:dyDescent="0.25">
      <c r="C743" s="35"/>
      <c r="G743" s="38"/>
      <c r="H743" s="38"/>
      <c r="I743" s="38"/>
      <c r="J743" s="38"/>
      <c r="K743" s="38"/>
      <c r="L743" s="39"/>
      <c r="M743" s="38"/>
      <c r="N743" s="38"/>
      <c r="O743" s="38"/>
      <c r="P743" s="38"/>
      <c r="Q743" s="38"/>
      <c r="R743" s="38"/>
      <c r="S743" s="38"/>
      <c r="BB743" s="9" t="str">
        <f t="shared" si="39"/>
        <v>Yes</v>
      </c>
      <c r="BC743" s="9" t="e">
        <f>IF(EFB!$N743=Table1[[#This Row],[ProgramTitle]],"Yes","No")</f>
        <v>#VALUE!</v>
      </c>
      <c r="BD743" s="9" t="e">
        <f>IF(EFB!$S743=Table1[[#This Row],[SeriesEpisodeTitle]],"Yes","No")</f>
        <v>#VALUE!</v>
      </c>
      <c r="BE743" s="11">
        <f t="shared" si="40"/>
        <v>0</v>
      </c>
      <c r="BF743" s="11">
        <f t="shared" si="41"/>
        <v>0</v>
      </c>
      <c r="BH743" s="36"/>
    </row>
    <row r="744" spans="3:60" x14ac:dyDescent="0.25">
      <c r="C744" s="35"/>
      <c r="L744" s="39"/>
      <c r="BB744" s="9" t="str">
        <f t="shared" si="39"/>
        <v>Yes</v>
      </c>
      <c r="BC744" s="9" t="e">
        <f>IF(EFB!$N744=Table1[[#This Row],[ProgramTitle]],"Yes","No")</f>
        <v>#VALUE!</v>
      </c>
      <c r="BD744" s="9" t="e">
        <f>IF(EFB!$S744=Table1[[#This Row],[SeriesEpisodeTitle]],"Yes","No")</f>
        <v>#VALUE!</v>
      </c>
      <c r="BE744" s="11">
        <f t="shared" si="40"/>
        <v>0</v>
      </c>
      <c r="BF744" s="11">
        <f t="shared" si="41"/>
        <v>0</v>
      </c>
      <c r="BH744" s="36"/>
    </row>
    <row r="745" spans="3:60" x14ac:dyDescent="0.25">
      <c r="C745" s="35"/>
      <c r="G745" s="38"/>
      <c r="H745" s="38"/>
      <c r="I745" s="38"/>
      <c r="J745" s="38"/>
      <c r="K745" s="38"/>
      <c r="L745" s="39"/>
      <c r="M745" s="38"/>
      <c r="N745" s="38"/>
      <c r="O745" s="38"/>
      <c r="P745" s="38"/>
      <c r="Q745" s="38"/>
      <c r="R745" s="38"/>
      <c r="S745" s="38"/>
      <c r="BB745" s="9" t="str">
        <f t="shared" si="39"/>
        <v>Yes</v>
      </c>
      <c r="BC745" s="9" t="e">
        <f>IF(EFB!$N745=Table1[[#This Row],[ProgramTitle]],"Yes","No")</f>
        <v>#VALUE!</v>
      </c>
      <c r="BD745" s="9" t="e">
        <f>IF(EFB!$S745=Table1[[#This Row],[SeriesEpisodeTitle]],"Yes","No")</f>
        <v>#VALUE!</v>
      </c>
      <c r="BE745" s="11">
        <f t="shared" si="40"/>
        <v>0</v>
      </c>
      <c r="BF745" s="11">
        <f t="shared" si="41"/>
        <v>0</v>
      </c>
      <c r="BH745" s="36"/>
    </row>
    <row r="746" spans="3:60" x14ac:dyDescent="0.25">
      <c r="C746" s="35"/>
      <c r="L746" s="39"/>
      <c r="BB746" s="9" t="str">
        <f t="shared" si="39"/>
        <v>Yes</v>
      </c>
      <c r="BC746" s="9" t="e">
        <f>IF(EFB!$N746=Table1[[#This Row],[ProgramTitle]],"Yes","No")</f>
        <v>#VALUE!</v>
      </c>
      <c r="BD746" s="9" t="e">
        <f>IF(EFB!$S746=Table1[[#This Row],[SeriesEpisodeTitle]],"Yes","No")</f>
        <v>#VALUE!</v>
      </c>
      <c r="BE746" s="11">
        <f t="shared" si="40"/>
        <v>0</v>
      </c>
      <c r="BF746" s="11">
        <f t="shared" si="41"/>
        <v>0</v>
      </c>
      <c r="BH746" s="36"/>
    </row>
    <row r="747" spans="3:60" x14ac:dyDescent="0.25">
      <c r="C747" s="35"/>
      <c r="G747" s="38"/>
      <c r="H747" s="38"/>
      <c r="I747" s="38"/>
      <c r="J747" s="38"/>
      <c r="K747" s="38"/>
      <c r="L747" s="39"/>
      <c r="M747" s="38"/>
      <c r="N747" s="38"/>
      <c r="O747" s="38"/>
      <c r="P747" s="38"/>
      <c r="Q747" s="38"/>
      <c r="R747" s="38"/>
      <c r="S747" s="38"/>
      <c r="BB747" s="9" t="str">
        <f t="shared" si="39"/>
        <v>Yes</v>
      </c>
      <c r="BC747" s="9" t="e">
        <f>IF(EFB!$N747=Table1[[#This Row],[ProgramTitle]],"Yes","No")</f>
        <v>#VALUE!</v>
      </c>
      <c r="BD747" s="9" t="e">
        <f>IF(EFB!$S747=Table1[[#This Row],[SeriesEpisodeTitle]],"Yes","No")</f>
        <v>#VALUE!</v>
      </c>
      <c r="BE747" s="11">
        <f t="shared" si="40"/>
        <v>0</v>
      </c>
      <c r="BF747" s="11">
        <f t="shared" si="41"/>
        <v>0</v>
      </c>
      <c r="BH747" s="36"/>
    </row>
    <row r="748" spans="3:60" x14ac:dyDescent="0.25">
      <c r="C748" s="35"/>
      <c r="L748" s="39"/>
      <c r="BB748" s="9" t="str">
        <f t="shared" si="39"/>
        <v>Yes</v>
      </c>
      <c r="BC748" s="9" t="e">
        <f>IF(EFB!$N748=Table1[[#This Row],[ProgramTitle]],"Yes","No")</f>
        <v>#VALUE!</v>
      </c>
      <c r="BD748" s="9" t="e">
        <f>IF(EFB!$S748=Table1[[#This Row],[SeriesEpisodeTitle]],"Yes","No")</f>
        <v>#VALUE!</v>
      </c>
      <c r="BE748" s="11">
        <f t="shared" si="40"/>
        <v>0</v>
      </c>
      <c r="BF748" s="11">
        <f t="shared" si="41"/>
        <v>0</v>
      </c>
      <c r="BH748" s="36"/>
    </row>
    <row r="749" spans="3:60" x14ac:dyDescent="0.25">
      <c r="C749" s="35"/>
      <c r="G749" s="38"/>
      <c r="H749" s="38"/>
      <c r="I749" s="38"/>
      <c r="J749" s="38"/>
      <c r="K749" s="38"/>
      <c r="L749" s="39"/>
      <c r="M749" s="38"/>
      <c r="N749" s="38"/>
      <c r="O749" s="38"/>
      <c r="P749" s="38"/>
      <c r="Q749" s="38"/>
      <c r="R749" s="38"/>
      <c r="S749" s="38"/>
      <c r="BB749" s="9" t="str">
        <f t="shared" si="39"/>
        <v>Yes</v>
      </c>
      <c r="BC749" s="9" t="e">
        <f>IF(EFB!$N749=Table1[[#This Row],[ProgramTitle]],"Yes","No")</f>
        <v>#VALUE!</v>
      </c>
      <c r="BD749" s="9" t="e">
        <f>IF(EFB!$S749=Table1[[#This Row],[SeriesEpisodeTitle]],"Yes","No")</f>
        <v>#VALUE!</v>
      </c>
      <c r="BE749" s="11">
        <f t="shared" si="40"/>
        <v>0</v>
      </c>
      <c r="BF749" s="11">
        <f t="shared" si="41"/>
        <v>0</v>
      </c>
      <c r="BH749" s="36"/>
    </row>
    <row r="750" spans="3:60" x14ac:dyDescent="0.25">
      <c r="C750" s="35"/>
      <c r="L750" s="39"/>
      <c r="BB750" s="9" t="str">
        <f t="shared" si="39"/>
        <v>Yes</v>
      </c>
      <c r="BC750" s="9" t="e">
        <f>IF(EFB!$N750=Table1[[#This Row],[ProgramTitle]],"Yes","No")</f>
        <v>#VALUE!</v>
      </c>
      <c r="BD750" s="9" t="e">
        <f>IF(EFB!$S750=Table1[[#This Row],[SeriesEpisodeTitle]],"Yes","No")</f>
        <v>#VALUE!</v>
      </c>
      <c r="BE750" s="11">
        <f t="shared" si="40"/>
        <v>0</v>
      </c>
      <c r="BF750" s="11">
        <f t="shared" si="41"/>
        <v>0</v>
      </c>
      <c r="BH750" s="36"/>
    </row>
    <row r="751" spans="3:60" x14ac:dyDescent="0.25">
      <c r="C751" s="35"/>
      <c r="G751" s="38"/>
      <c r="H751" s="38"/>
      <c r="I751" s="38"/>
      <c r="J751" s="38"/>
      <c r="K751" s="38"/>
      <c r="L751" s="39"/>
      <c r="M751" s="38"/>
      <c r="N751" s="38"/>
      <c r="O751" s="38"/>
      <c r="P751" s="38"/>
      <c r="Q751" s="38"/>
      <c r="R751" s="38"/>
      <c r="S751" s="38"/>
      <c r="BB751" s="9" t="str">
        <f t="shared" ref="BB751:BB814" si="42">IF(BE751=BF751,"Yes","No")</f>
        <v>Yes</v>
      </c>
      <c r="BC751" s="9" t="e">
        <f>IF(EFB!$N751=Table1[[#This Row],[ProgramTitle]],"Yes","No")</f>
        <v>#VALUE!</v>
      </c>
      <c r="BD751" s="9" t="e">
        <f>IF(EFB!$S751=Table1[[#This Row],[SeriesEpisodeTitle]],"Yes","No")</f>
        <v>#VALUE!</v>
      </c>
      <c r="BE751" s="11">
        <f t="shared" si="40"/>
        <v>0</v>
      </c>
      <c r="BF751" s="11">
        <f t="shared" si="41"/>
        <v>0</v>
      </c>
      <c r="BH751" s="36"/>
    </row>
    <row r="752" spans="3:60" x14ac:dyDescent="0.25">
      <c r="C752" s="35"/>
      <c r="L752" s="39"/>
      <c r="BB752" s="9" t="str">
        <f t="shared" si="42"/>
        <v>Yes</v>
      </c>
      <c r="BC752" s="9" t="e">
        <f>IF(EFB!$N752=Table1[[#This Row],[ProgramTitle]],"Yes","No")</f>
        <v>#VALUE!</v>
      </c>
      <c r="BD752" s="9" t="e">
        <f>IF(EFB!$S752=Table1[[#This Row],[SeriesEpisodeTitle]],"Yes","No")</f>
        <v>#VALUE!</v>
      </c>
      <c r="BE752" s="11">
        <f t="shared" si="40"/>
        <v>0</v>
      </c>
      <c r="BF752" s="11">
        <f t="shared" si="41"/>
        <v>0</v>
      </c>
      <c r="BH752" s="36"/>
    </row>
    <row r="753" spans="3:60" x14ac:dyDescent="0.25">
      <c r="C753" s="35"/>
      <c r="G753" s="38"/>
      <c r="H753" s="38"/>
      <c r="I753" s="38"/>
      <c r="J753" s="38"/>
      <c r="K753" s="38"/>
      <c r="L753" s="39"/>
      <c r="M753" s="38"/>
      <c r="N753" s="38"/>
      <c r="O753" s="38"/>
      <c r="P753" s="38"/>
      <c r="Q753" s="38"/>
      <c r="R753" s="38"/>
      <c r="S753" s="38"/>
      <c r="BB753" s="9" t="str">
        <f t="shared" si="42"/>
        <v>Yes</v>
      </c>
      <c r="BC753" s="9" t="e">
        <f>IF(EFB!$N753=Table1[[#This Row],[ProgramTitle]],"Yes","No")</f>
        <v>#VALUE!</v>
      </c>
      <c r="BD753" s="9" t="e">
        <f>IF(EFB!$S753=Table1[[#This Row],[SeriesEpisodeTitle]],"Yes","No")</f>
        <v>#VALUE!</v>
      </c>
      <c r="BE753" s="11">
        <f t="shared" si="40"/>
        <v>0</v>
      </c>
      <c r="BF753" s="11">
        <f t="shared" si="41"/>
        <v>0</v>
      </c>
      <c r="BH753" s="36"/>
    </row>
    <row r="754" spans="3:60" x14ac:dyDescent="0.25">
      <c r="C754" s="35"/>
      <c r="L754" s="39"/>
      <c r="BB754" s="9" t="str">
        <f t="shared" si="42"/>
        <v>Yes</v>
      </c>
      <c r="BC754" s="9" t="e">
        <f>IF(EFB!$N754=Table1[[#This Row],[ProgramTitle]],"Yes","No")</f>
        <v>#VALUE!</v>
      </c>
      <c r="BD754" s="9" t="e">
        <f>IF(EFB!$S754=Table1[[#This Row],[SeriesEpisodeTitle]],"Yes","No")</f>
        <v>#VALUE!</v>
      </c>
      <c r="BE754" s="11">
        <f t="shared" si="40"/>
        <v>0</v>
      </c>
      <c r="BF754" s="11">
        <f t="shared" si="41"/>
        <v>0</v>
      </c>
      <c r="BH754" s="36"/>
    </row>
    <row r="755" spans="3:60" x14ac:dyDescent="0.25">
      <c r="C755" s="35"/>
      <c r="G755" s="38"/>
      <c r="H755" s="38"/>
      <c r="I755" s="38"/>
      <c r="J755" s="38"/>
      <c r="K755" s="38"/>
      <c r="L755" s="39"/>
      <c r="M755" s="38"/>
      <c r="N755" s="38"/>
      <c r="O755" s="38"/>
      <c r="P755" s="38"/>
      <c r="Q755" s="38"/>
      <c r="R755" s="38"/>
      <c r="S755" s="38"/>
      <c r="BB755" s="9" t="str">
        <f t="shared" si="42"/>
        <v>Yes</v>
      </c>
      <c r="BC755" s="9" t="e">
        <f>IF(EFB!$N755=Table1[[#This Row],[ProgramTitle]],"Yes","No")</f>
        <v>#VALUE!</v>
      </c>
      <c r="BD755" s="9" t="e">
        <f>IF(EFB!$S755=Table1[[#This Row],[SeriesEpisodeTitle]],"Yes","No")</f>
        <v>#VALUE!</v>
      </c>
      <c r="BE755" s="11">
        <f t="shared" si="40"/>
        <v>0</v>
      </c>
      <c r="BF755" s="11">
        <f t="shared" si="41"/>
        <v>0</v>
      </c>
      <c r="BH755" s="36"/>
    </row>
    <row r="756" spans="3:60" x14ac:dyDescent="0.25">
      <c r="C756" s="35"/>
      <c r="L756" s="39"/>
      <c r="BB756" s="9" t="str">
        <f t="shared" si="42"/>
        <v>Yes</v>
      </c>
      <c r="BC756" s="9" t="e">
        <f>IF(EFB!$N756=Table1[[#This Row],[ProgramTitle]],"Yes","No")</f>
        <v>#VALUE!</v>
      </c>
      <c r="BD756" s="9" t="e">
        <f>IF(EFB!$S756=Table1[[#This Row],[SeriesEpisodeTitle]],"Yes","No")</f>
        <v>#VALUE!</v>
      </c>
      <c r="BE756" s="11">
        <f t="shared" si="40"/>
        <v>0</v>
      </c>
      <c r="BF756" s="11">
        <f t="shared" si="41"/>
        <v>0</v>
      </c>
      <c r="BH756" s="36"/>
    </row>
    <row r="757" spans="3:60" x14ac:dyDescent="0.25">
      <c r="C757" s="35"/>
      <c r="G757" s="38"/>
      <c r="H757" s="38"/>
      <c r="I757" s="38"/>
      <c r="J757" s="38"/>
      <c r="K757" s="38"/>
      <c r="L757" s="39"/>
      <c r="M757" s="38"/>
      <c r="N757" s="38"/>
      <c r="O757" s="38"/>
      <c r="P757" s="38"/>
      <c r="Q757" s="38"/>
      <c r="R757" s="38"/>
      <c r="S757" s="38"/>
      <c r="BB757" s="9" t="str">
        <f t="shared" si="42"/>
        <v>Yes</v>
      </c>
      <c r="BC757" s="9" t="e">
        <f>IF(EFB!$N757=Table1[[#This Row],[ProgramTitle]],"Yes","No")</f>
        <v>#VALUE!</v>
      </c>
      <c r="BD757" s="9" t="e">
        <f>IF(EFB!$S757=Table1[[#This Row],[SeriesEpisodeTitle]],"Yes","No")</f>
        <v>#VALUE!</v>
      </c>
      <c r="BE757" s="11">
        <f t="shared" si="40"/>
        <v>0</v>
      </c>
      <c r="BF757" s="11">
        <f t="shared" si="41"/>
        <v>0</v>
      </c>
      <c r="BH757" s="36"/>
    </row>
    <row r="758" spans="3:60" x14ac:dyDescent="0.25">
      <c r="C758" s="35"/>
      <c r="L758" s="39"/>
      <c r="BB758" s="9" t="str">
        <f t="shared" si="42"/>
        <v>Yes</v>
      </c>
      <c r="BC758" s="9" t="e">
        <f>IF(EFB!$N758=Table1[[#This Row],[ProgramTitle]],"Yes","No")</f>
        <v>#VALUE!</v>
      </c>
      <c r="BD758" s="9" t="e">
        <f>IF(EFB!$S758=Table1[[#This Row],[SeriesEpisodeTitle]],"Yes","No")</f>
        <v>#VALUE!</v>
      </c>
      <c r="BE758" s="11">
        <f t="shared" si="40"/>
        <v>0</v>
      </c>
      <c r="BF758" s="11">
        <f t="shared" si="41"/>
        <v>0</v>
      </c>
      <c r="BH758" s="36"/>
    </row>
    <row r="759" spans="3:60" x14ac:dyDescent="0.25">
      <c r="C759" s="35"/>
      <c r="G759" s="38"/>
      <c r="H759" s="38"/>
      <c r="I759" s="38"/>
      <c r="J759" s="38"/>
      <c r="K759" s="38"/>
      <c r="L759" s="39"/>
      <c r="M759" s="38"/>
      <c r="N759" s="38"/>
      <c r="O759" s="38"/>
      <c r="P759" s="38"/>
      <c r="Q759" s="38"/>
      <c r="R759" s="38"/>
      <c r="S759" s="38"/>
      <c r="BB759" s="9" t="str">
        <f t="shared" si="42"/>
        <v>Yes</v>
      </c>
      <c r="BC759" s="9" t="e">
        <f>IF(EFB!$N759=Table1[[#This Row],[ProgramTitle]],"Yes","No")</f>
        <v>#VALUE!</v>
      </c>
      <c r="BD759" s="9" t="e">
        <f>IF(EFB!$S759=Table1[[#This Row],[SeriesEpisodeTitle]],"Yes","No")</f>
        <v>#VALUE!</v>
      </c>
      <c r="BE759" s="11">
        <f t="shared" si="40"/>
        <v>0</v>
      </c>
      <c r="BF759" s="11">
        <f t="shared" si="41"/>
        <v>0</v>
      </c>
      <c r="BH759" s="36"/>
    </row>
    <row r="760" spans="3:60" x14ac:dyDescent="0.25">
      <c r="C760" s="35"/>
      <c r="L760" s="39"/>
      <c r="BB760" s="9" t="str">
        <f t="shared" si="42"/>
        <v>Yes</v>
      </c>
      <c r="BC760" s="9" t="e">
        <f>IF(EFB!$N760=Table1[[#This Row],[ProgramTitle]],"Yes","No")</f>
        <v>#VALUE!</v>
      </c>
      <c r="BD760" s="9" t="e">
        <f>IF(EFB!$S760=Table1[[#This Row],[SeriesEpisodeTitle]],"Yes","No")</f>
        <v>#VALUE!</v>
      </c>
      <c r="BE760" s="11">
        <f t="shared" si="40"/>
        <v>0</v>
      </c>
      <c r="BF760" s="11">
        <f t="shared" si="41"/>
        <v>0</v>
      </c>
      <c r="BH760" s="36"/>
    </row>
    <row r="761" spans="3:60" x14ac:dyDescent="0.25">
      <c r="C761" s="35"/>
      <c r="G761" s="38"/>
      <c r="H761" s="38"/>
      <c r="I761" s="38"/>
      <c r="J761" s="38"/>
      <c r="K761" s="38"/>
      <c r="L761" s="39"/>
      <c r="M761" s="38"/>
      <c r="N761" s="38"/>
      <c r="O761" s="38"/>
      <c r="P761" s="38"/>
      <c r="Q761" s="38"/>
      <c r="R761" s="38"/>
      <c r="S761" s="38"/>
      <c r="BB761" s="9" t="str">
        <f t="shared" si="42"/>
        <v>Yes</v>
      </c>
      <c r="BC761" s="9" t="e">
        <f>IF(EFB!$N761=Table1[[#This Row],[ProgramTitle]],"Yes","No")</f>
        <v>#VALUE!</v>
      </c>
      <c r="BD761" s="9" t="e">
        <f>IF(EFB!$S761=Table1[[#This Row],[SeriesEpisodeTitle]],"Yes","No")</f>
        <v>#VALUE!</v>
      </c>
      <c r="BE761" s="11">
        <f t="shared" si="40"/>
        <v>0</v>
      </c>
      <c r="BF761" s="11">
        <f t="shared" si="41"/>
        <v>0</v>
      </c>
      <c r="BH761" s="36"/>
    </row>
    <row r="762" spans="3:60" x14ac:dyDescent="0.25">
      <c r="C762" s="35"/>
      <c r="L762" s="39"/>
      <c r="BB762" s="9" t="str">
        <f t="shared" si="42"/>
        <v>Yes</v>
      </c>
      <c r="BC762" s="9" t="e">
        <f>IF(EFB!$N762=Table1[[#This Row],[ProgramTitle]],"Yes","No")</f>
        <v>#VALUE!</v>
      </c>
      <c r="BD762" s="9" t="e">
        <f>IF(EFB!$S762=Table1[[#This Row],[SeriesEpisodeTitle]],"Yes","No")</f>
        <v>#VALUE!</v>
      </c>
      <c r="BE762" s="11">
        <f t="shared" si="40"/>
        <v>0</v>
      </c>
      <c r="BF762" s="11">
        <f t="shared" si="41"/>
        <v>0</v>
      </c>
      <c r="BH762" s="36"/>
    </row>
    <row r="763" spans="3:60" x14ac:dyDescent="0.25">
      <c r="C763" s="35"/>
      <c r="G763" s="38"/>
      <c r="H763" s="38"/>
      <c r="I763" s="38"/>
      <c r="J763" s="38"/>
      <c r="K763" s="38"/>
      <c r="L763" s="39"/>
      <c r="M763" s="38"/>
      <c r="N763" s="38"/>
      <c r="O763" s="38"/>
      <c r="P763" s="38"/>
      <c r="Q763" s="38"/>
      <c r="R763" s="38"/>
      <c r="S763" s="38"/>
      <c r="BB763" s="9" t="str">
        <f t="shared" si="42"/>
        <v>Yes</v>
      </c>
      <c r="BC763" s="9" t="e">
        <f>IF(EFB!$N763=Table1[[#This Row],[ProgramTitle]],"Yes","No")</f>
        <v>#VALUE!</v>
      </c>
      <c r="BD763" s="9" t="e">
        <f>IF(EFB!$S763=Table1[[#This Row],[SeriesEpisodeTitle]],"Yes","No")</f>
        <v>#VALUE!</v>
      </c>
      <c r="BE763" s="11">
        <f t="shared" si="40"/>
        <v>0</v>
      </c>
      <c r="BF763" s="11">
        <f t="shared" si="41"/>
        <v>0</v>
      </c>
      <c r="BH763" s="36"/>
    </row>
    <row r="764" spans="3:60" x14ac:dyDescent="0.25">
      <c r="C764" s="35"/>
      <c r="L764" s="39"/>
      <c r="BB764" s="9" t="str">
        <f t="shared" si="42"/>
        <v>Yes</v>
      </c>
      <c r="BC764" s="9" t="e">
        <f>IF(EFB!$N764=Table1[[#This Row],[ProgramTitle]],"Yes","No")</f>
        <v>#VALUE!</v>
      </c>
      <c r="BD764" s="9" t="e">
        <f>IF(EFB!$S764=Table1[[#This Row],[SeriesEpisodeTitle]],"Yes","No")</f>
        <v>#VALUE!</v>
      </c>
      <c r="BE764" s="11">
        <f t="shared" si="40"/>
        <v>0</v>
      </c>
      <c r="BF764" s="11">
        <f t="shared" si="41"/>
        <v>0</v>
      </c>
      <c r="BH764" s="36"/>
    </row>
    <row r="765" spans="3:60" x14ac:dyDescent="0.25">
      <c r="C765" s="35"/>
      <c r="G765" s="38"/>
      <c r="H765" s="38"/>
      <c r="I765" s="38"/>
      <c r="J765" s="38"/>
      <c r="K765" s="38"/>
      <c r="L765" s="39"/>
      <c r="M765" s="38"/>
      <c r="N765" s="38"/>
      <c r="O765" s="38"/>
      <c r="P765" s="38"/>
      <c r="Q765" s="38"/>
      <c r="R765" s="38"/>
      <c r="S765" s="38"/>
      <c r="BB765" s="9" t="str">
        <f t="shared" si="42"/>
        <v>Yes</v>
      </c>
      <c r="BC765" s="9" t="e">
        <f>IF(EFB!$N765=Table1[[#This Row],[ProgramTitle]],"Yes","No")</f>
        <v>#VALUE!</v>
      </c>
      <c r="BD765" s="9" t="e">
        <f>IF(EFB!$S765=Table1[[#This Row],[SeriesEpisodeTitle]],"Yes","No")</f>
        <v>#VALUE!</v>
      </c>
      <c r="BE765" s="11">
        <f t="shared" si="40"/>
        <v>0</v>
      </c>
      <c r="BF765" s="11">
        <f t="shared" si="41"/>
        <v>0</v>
      </c>
      <c r="BH765" s="36"/>
    </row>
    <row r="766" spans="3:60" x14ac:dyDescent="0.25">
      <c r="C766" s="35"/>
      <c r="L766" s="39"/>
      <c r="BB766" s="9" t="str">
        <f t="shared" si="42"/>
        <v>Yes</v>
      </c>
      <c r="BC766" s="9" t="e">
        <f>IF(EFB!$N766=Table1[[#This Row],[ProgramTitle]],"Yes","No")</f>
        <v>#VALUE!</v>
      </c>
      <c r="BD766" s="9" t="e">
        <f>IF(EFB!$S766=Table1[[#This Row],[SeriesEpisodeTitle]],"Yes","No")</f>
        <v>#VALUE!</v>
      </c>
      <c r="BE766" s="11">
        <f t="shared" si="40"/>
        <v>0</v>
      </c>
      <c r="BF766" s="11">
        <f t="shared" si="41"/>
        <v>0</v>
      </c>
      <c r="BH766" s="36"/>
    </row>
    <row r="767" spans="3:60" x14ac:dyDescent="0.25">
      <c r="C767" s="35"/>
      <c r="G767" s="38"/>
      <c r="H767" s="38"/>
      <c r="I767" s="38"/>
      <c r="J767" s="38"/>
      <c r="K767" s="38"/>
      <c r="L767" s="39"/>
      <c r="M767" s="38"/>
      <c r="N767" s="38"/>
      <c r="O767" s="38"/>
      <c r="P767" s="38"/>
      <c r="Q767" s="38"/>
      <c r="R767" s="38"/>
      <c r="S767" s="38"/>
      <c r="BB767" s="9" t="str">
        <f t="shared" si="42"/>
        <v>Yes</v>
      </c>
      <c r="BC767" s="9" t="e">
        <f>IF(EFB!$N767=Table1[[#This Row],[ProgramTitle]],"Yes","No")</f>
        <v>#VALUE!</v>
      </c>
      <c r="BD767" s="9" t="e">
        <f>IF(EFB!$S767=Table1[[#This Row],[SeriesEpisodeTitle]],"Yes","No")</f>
        <v>#VALUE!</v>
      </c>
      <c r="BE767" s="11">
        <f t="shared" si="40"/>
        <v>0</v>
      </c>
      <c r="BF767" s="11">
        <f t="shared" si="41"/>
        <v>0</v>
      </c>
      <c r="BH767" s="36"/>
    </row>
    <row r="768" spans="3:60" x14ac:dyDescent="0.25">
      <c r="C768" s="35"/>
      <c r="L768" s="39"/>
      <c r="BB768" s="9" t="str">
        <f t="shared" si="42"/>
        <v>Yes</v>
      </c>
      <c r="BC768" s="9" t="e">
        <f>IF(EFB!$N768=Table1[[#This Row],[ProgramTitle]],"Yes","No")</f>
        <v>#VALUE!</v>
      </c>
      <c r="BD768" s="9" t="e">
        <f>IF(EFB!$S768=Table1[[#This Row],[SeriesEpisodeTitle]],"Yes","No")</f>
        <v>#VALUE!</v>
      </c>
      <c r="BE768" s="11">
        <f t="shared" si="40"/>
        <v>0</v>
      </c>
      <c r="BF768" s="11">
        <f t="shared" si="41"/>
        <v>0</v>
      </c>
      <c r="BH768" s="36"/>
    </row>
    <row r="769" spans="3:60" x14ac:dyDescent="0.25">
      <c r="C769" s="35"/>
      <c r="G769" s="38"/>
      <c r="H769" s="38"/>
      <c r="I769" s="38"/>
      <c r="J769" s="38"/>
      <c r="K769" s="38"/>
      <c r="L769" s="39"/>
      <c r="M769" s="38"/>
      <c r="N769" s="38"/>
      <c r="O769" s="38"/>
      <c r="P769" s="38"/>
      <c r="Q769" s="38"/>
      <c r="R769" s="38"/>
      <c r="S769" s="38"/>
      <c r="BB769" s="9" t="str">
        <f t="shared" si="42"/>
        <v>Yes</v>
      </c>
      <c r="BC769" s="9" t="e">
        <f>IF(EFB!$N769=Table1[[#This Row],[ProgramTitle]],"Yes","No")</f>
        <v>#VALUE!</v>
      </c>
      <c r="BD769" s="9" t="e">
        <f>IF(EFB!$S769=Table1[[#This Row],[SeriesEpisodeTitle]],"Yes","No")</f>
        <v>#VALUE!</v>
      </c>
      <c r="BE769" s="11">
        <f t="shared" si="40"/>
        <v>0</v>
      </c>
      <c r="BF769" s="11">
        <f t="shared" si="41"/>
        <v>0</v>
      </c>
      <c r="BH769" s="36"/>
    </row>
    <row r="770" spans="3:60" x14ac:dyDescent="0.25">
      <c r="C770" s="35"/>
      <c r="L770" s="39"/>
      <c r="BB770" s="9" t="str">
        <f t="shared" si="42"/>
        <v>Yes</v>
      </c>
      <c r="BC770" s="9" t="e">
        <f>IF(EFB!$N770=Table1[[#This Row],[ProgramTitle]],"Yes","No")</f>
        <v>#VALUE!</v>
      </c>
      <c r="BD770" s="9" t="e">
        <f>IF(EFB!$S770=Table1[[#This Row],[SeriesEpisodeTitle]],"Yes","No")</f>
        <v>#VALUE!</v>
      </c>
      <c r="BE770" s="11">
        <f t="shared" si="40"/>
        <v>0</v>
      </c>
      <c r="BF770" s="11">
        <f t="shared" si="41"/>
        <v>0</v>
      </c>
      <c r="BH770" s="36"/>
    </row>
    <row r="771" spans="3:60" x14ac:dyDescent="0.25">
      <c r="C771" s="35"/>
      <c r="G771" s="38"/>
      <c r="H771" s="38"/>
      <c r="I771" s="38"/>
      <c r="J771" s="38"/>
      <c r="K771" s="38"/>
      <c r="L771" s="39"/>
      <c r="M771" s="38"/>
      <c r="N771" s="38"/>
      <c r="O771" s="38"/>
      <c r="P771" s="38"/>
      <c r="Q771" s="38"/>
      <c r="R771" s="38"/>
      <c r="S771" s="38"/>
      <c r="BB771" s="9" t="str">
        <f t="shared" si="42"/>
        <v>Yes</v>
      </c>
      <c r="BC771" s="9" t="e">
        <f>IF(EFB!$N771=Table1[[#This Row],[ProgramTitle]],"Yes","No")</f>
        <v>#VALUE!</v>
      </c>
      <c r="BD771" s="9" t="e">
        <f>IF(EFB!$S771=Table1[[#This Row],[SeriesEpisodeTitle]],"Yes","No")</f>
        <v>#VALUE!</v>
      </c>
      <c r="BE771" s="11">
        <f t="shared" ref="BE771:BE834" si="43">TIME(HOUR(C771),MINUTE(C771),SECOND(0))</f>
        <v>0</v>
      </c>
      <c r="BF771" s="11">
        <f t="shared" ref="BF771:BF834" si="44">TIME(HOUR(L771),MINUTE(L771),SECOND(0))</f>
        <v>0</v>
      </c>
      <c r="BH771" s="36"/>
    </row>
    <row r="772" spans="3:60" x14ac:dyDescent="0.25">
      <c r="C772" s="35"/>
      <c r="L772" s="39"/>
      <c r="BB772" s="9" t="str">
        <f t="shared" si="42"/>
        <v>Yes</v>
      </c>
      <c r="BC772" s="9" t="e">
        <f>IF(EFB!$N772=Table1[[#This Row],[ProgramTitle]],"Yes","No")</f>
        <v>#VALUE!</v>
      </c>
      <c r="BD772" s="9" t="e">
        <f>IF(EFB!$S772=Table1[[#This Row],[SeriesEpisodeTitle]],"Yes","No")</f>
        <v>#VALUE!</v>
      </c>
      <c r="BE772" s="11">
        <f t="shared" si="43"/>
        <v>0</v>
      </c>
      <c r="BF772" s="11">
        <f t="shared" si="44"/>
        <v>0</v>
      </c>
      <c r="BH772" s="36"/>
    </row>
    <row r="773" spans="3:60" x14ac:dyDescent="0.25">
      <c r="C773" s="35"/>
      <c r="G773" s="38"/>
      <c r="H773" s="38"/>
      <c r="I773" s="38"/>
      <c r="J773" s="38"/>
      <c r="K773" s="38"/>
      <c r="L773" s="39"/>
      <c r="M773" s="38"/>
      <c r="N773" s="38"/>
      <c r="O773" s="38"/>
      <c r="P773" s="38"/>
      <c r="Q773" s="38"/>
      <c r="R773" s="38"/>
      <c r="S773" s="38"/>
      <c r="BB773" s="9" t="str">
        <f t="shared" si="42"/>
        <v>Yes</v>
      </c>
      <c r="BC773" s="9" t="e">
        <f>IF(EFB!$N773=Table1[[#This Row],[ProgramTitle]],"Yes","No")</f>
        <v>#VALUE!</v>
      </c>
      <c r="BD773" s="9" t="e">
        <f>IF(EFB!$S773=Table1[[#This Row],[SeriesEpisodeTitle]],"Yes","No")</f>
        <v>#VALUE!</v>
      </c>
      <c r="BE773" s="11">
        <f t="shared" si="43"/>
        <v>0</v>
      </c>
      <c r="BF773" s="11">
        <f t="shared" si="44"/>
        <v>0</v>
      </c>
      <c r="BH773" s="36"/>
    </row>
    <row r="774" spans="3:60" x14ac:dyDescent="0.25">
      <c r="C774" s="35"/>
      <c r="L774" s="39"/>
      <c r="BB774" s="9" t="str">
        <f t="shared" si="42"/>
        <v>Yes</v>
      </c>
      <c r="BC774" s="9" t="e">
        <f>IF(EFB!$N774=Table1[[#This Row],[ProgramTitle]],"Yes","No")</f>
        <v>#VALUE!</v>
      </c>
      <c r="BD774" s="9" t="e">
        <f>IF(EFB!$S774=Table1[[#This Row],[SeriesEpisodeTitle]],"Yes","No")</f>
        <v>#VALUE!</v>
      </c>
      <c r="BE774" s="11">
        <f t="shared" si="43"/>
        <v>0</v>
      </c>
      <c r="BF774" s="11">
        <f t="shared" si="44"/>
        <v>0</v>
      </c>
      <c r="BH774" s="36"/>
    </row>
    <row r="775" spans="3:60" x14ac:dyDescent="0.25">
      <c r="C775" s="35"/>
      <c r="G775" s="38"/>
      <c r="H775" s="38"/>
      <c r="I775" s="38"/>
      <c r="J775" s="38"/>
      <c r="K775" s="38"/>
      <c r="L775" s="39"/>
      <c r="M775" s="38"/>
      <c r="N775" s="38"/>
      <c r="O775" s="38"/>
      <c r="P775" s="38"/>
      <c r="Q775" s="38"/>
      <c r="R775" s="38"/>
      <c r="S775" s="38"/>
      <c r="BB775" s="9" t="str">
        <f t="shared" si="42"/>
        <v>Yes</v>
      </c>
      <c r="BC775" s="9" t="e">
        <f>IF(EFB!$N775=Table1[[#This Row],[ProgramTitle]],"Yes","No")</f>
        <v>#VALUE!</v>
      </c>
      <c r="BD775" s="9" t="e">
        <f>IF(EFB!$S775=Table1[[#This Row],[SeriesEpisodeTitle]],"Yes","No")</f>
        <v>#VALUE!</v>
      </c>
      <c r="BE775" s="11">
        <f t="shared" si="43"/>
        <v>0</v>
      </c>
      <c r="BF775" s="11">
        <f t="shared" si="44"/>
        <v>0</v>
      </c>
      <c r="BH775" s="36"/>
    </row>
    <row r="776" spans="3:60" x14ac:dyDescent="0.25">
      <c r="C776" s="35"/>
      <c r="L776" s="39"/>
      <c r="BB776" s="9" t="str">
        <f t="shared" si="42"/>
        <v>Yes</v>
      </c>
      <c r="BC776" s="9" t="e">
        <f>IF(EFB!$N776=Table1[[#This Row],[ProgramTitle]],"Yes","No")</f>
        <v>#VALUE!</v>
      </c>
      <c r="BD776" s="9" t="e">
        <f>IF(EFB!$S776=Table1[[#This Row],[SeriesEpisodeTitle]],"Yes","No")</f>
        <v>#VALUE!</v>
      </c>
      <c r="BE776" s="11">
        <f t="shared" si="43"/>
        <v>0</v>
      </c>
      <c r="BF776" s="11">
        <f t="shared" si="44"/>
        <v>0</v>
      </c>
      <c r="BH776" s="36"/>
    </row>
    <row r="777" spans="3:60" x14ac:dyDescent="0.25">
      <c r="C777" s="35"/>
      <c r="G777" s="38"/>
      <c r="H777" s="38"/>
      <c r="I777" s="38"/>
      <c r="J777" s="38"/>
      <c r="K777" s="38"/>
      <c r="L777" s="39"/>
      <c r="M777" s="38"/>
      <c r="N777" s="38"/>
      <c r="O777" s="38"/>
      <c r="P777" s="38"/>
      <c r="Q777" s="38"/>
      <c r="R777" s="38"/>
      <c r="S777" s="38"/>
      <c r="BB777" s="9" t="str">
        <f t="shared" si="42"/>
        <v>Yes</v>
      </c>
      <c r="BC777" s="9" t="e">
        <f>IF(EFB!$N777=Table1[[#This Row],[ProgramTitle]],"Yes","No")</f>
        <v>#VALUE!</v>
      </c>
      <c r="BD777" s="9" t="e">
        <f>IF(EFB!$S777=Table1[[#This Row],[SeriesEpisodeTitle]],"Yes","No")</f>
        <v>#VALUE!</v>
      </c>
      <c r="BE777" s="11">
        <f t="shared" si="43"/>
        <v>0</v>
      </c>
      <c r="BF777" s="11">
        <f t="shared" si="44"/>
        <v>0</v>
      </c>
      <c r="BH777" s="36"/>
    </row>
    <row r="778" spans="3:60" x14ac:dyDescent="0.25">
      <c r="C778" s="35"/>
      <c r="L778" s="39"/>
      <c r="BB778" s="9" t="str">
        <f t="shared" si="42"/>
        <v>Yes</v>
      </c>
      <c r="BC778" s="9" t="e">
        <f>IF(EFB!$N778=Table1[[#This Row],[ProgramTitle]],"Yes","No")</f>
        <v>#VALUE!</v>
      </c>
      <c r="BD778" s="9" t="e">
        <f>IF(EFB!$S778=Table1[[#This Row],[SeriesEpisodeTitle]],"Yes","No")</f>
        <v>#VALUE!</v>
      </c>
      <c r="BE778" s="11">
        <f t="shared" si="43"/>
        <v>0</v>
      </c>
      <c r="BF778" s="11">
        <f t="shared" si="44"/>
        <v>0</v>
      </c>
      <c r="BH778" s="36"/>
    </row>
    <row r="779" spans="3:60" x14ac:dyDescent="0.25">
      <c r="C779" s="35"/>
      <c r="G779" s="38"/>
      <c r="H779" s="38"/>
      <c r="I779" s="38"/>
      <c r="J779" s="38"/>
      <c r="K779" s="38"/>
      <c r="L779" s="39"/>
      <c r="M779" s="38"/>
      <c r="N779" s="38"/>
      <c r="O779" s="38"/>
      <c r="P779" s="38"/>
      <c r="Q779" s="38"/>
      <c r="R779" s="38"/>
      <c r="S779" s="38"/>
      <c r="BB779" s="9" t="str">
        <f t="shared" si="42"/>
        <v>Yes</v>
      </c>
      <c r="BC779" s="9" t="e">
        <f>IF(EFB!$N779=Table1[[#This Row],[ProgramTitle]],"Yes","No")</f>
        <v>#VALUE!</v>
      </c>
      <c r="BD779" s="9" t="e">
        <f>IF(EFB!$S779=Table1[[#This Row],[SeriesEpisodeTitle]],"Yes","No")</f>
        <v>#VALUE!</v>
      </c>
      <c r="BE779" s="11">
        <f t="shared" si="43"/>
        <v>0</v>
      </c>
      <c r="BF779" s="11">
        <f t="shared" si="44"/>
        <v>0</v>
      </c>
      <c r="BH779" s="36"/>
    </row>
    <row r="780" spans="3:60" x14ac:dyDescent="0.25">
      <c r="C780" s="35"/>
      <c r="L780" s="39"/>
      <c r="BB780" s="9" t="str">
        <f t="shared" si="42"/>
        <v>Yes</v>
      </c>
      <c r="BC780" s="9" t="e">
        <f>IF(EFB!$N780=Table1[[#This Row],[ProgramTitle]],"Yes","No")</f>
        <v>#VALUE!</v>
      </c>
      <c r="BD780" s="9" t="e">
        <f>IF(EFB!$S780=Table1[[#This Row],[SeriesEpisodeTitle]],"Yes","No")</f>
        <v>#VALUE!</v>
      </c>
      <c r="BE780" s="11">
        <f t="shared" si="43"/>
        <v>0</v>
      </c>
      <c r="BF780" s="11">
        <f t="shared" si="44"/>
        <v>0</v>
      </c>
      <c r="BH780" s="36"/>
    </row>
    <row r="781" spans="3:60" x14ac:dyDescent="0.25">
      <c r="C781" s="35"/>
      <c r="G781" s="38"/>
      <c r="H781" s="38"/>
      <c r="I781" s="38"/>
      <c r="J781" s="38"/>
      <c r="K781" s="38"/>
      <c r="L781" s="39"/>
      <c r="M781" s="38"/>
      <c r="N781" s="38"/>
      <c r="O781" s="38"/>
      <c r="P781" s="38"/>
      <c r="Q781" s="38"/>
      <c r="R781" s="38"/>
      <c r="S781" s="38"/>
      <c r="BB781" s="9" t="str">
        <f t="shared" si="42"/>
        <v>Yes</v>
      </c>
      <c r="BC781" s="9" t="e">
        <f>IF(EFB!$N781=Table1[[#This Row],[ProgramTitle]],"Yes","No")</f>
        <v>#VALUE!</v>
      </c>
      <c r="BD781" s="9" t="e">
        <f>IF(EFB!$S781=Table1[[#This Row],[SeriesEpisodeTitle]],"Yes","No")</f>
        <v>#VALUE!</v>
      </c>
      <c r="BE781" s="11">
        <f t="shared" si="43"/>
        <v>0</v>
      </c>
      <c r="BF781" s="11">
        <f t="shared" si="44"/>
        <v>0</v>
      </c>
      <c r="BH781" s="36"/>
    </row>
    <row r="782" spans="3:60" x14ac:dyDescent="0.25">
      <c r="C782" s="35"/>
      <c r="L782" s="39"/>
      <c r="BB782" s="9" t="str">
        <f t="shared" si="42"/>
        <v>Yes</v>
      </c>
      <c r="BC782" s="9" t="e">
        <f>IF(EFB!$N782=Table1[[#This Row],[ProgramTitle]],"Yes","No")</f>
        <v>#VALUE!</v>
      </c>
      <c r="BD782" s="9" t="e">
        <f>IF(EFB!$S782=Table1[[#This Row],[SeriesEpisodeTitle]],"Yes","No")</f>
        <v>#VALUE!</v>
      </c>
      <c r="BE782" s="11">
        <f t="shared" si="43"/>
        <v>0</v>
      </c>
      <c r="BF782" s="11">
        <f t="shared" si="44"/>
        <v>0</v>
      </c>
      <c r="BH782" s="36"/>
    </row>
    <row r="783" spans="3:60" x14ac:dyDescent="0.25">
      <c r="C783" s="35"/>
      <c r="G783" s="38"/>
      <c r="H783" s="38"/>
      <c r="I783" s="38"/>
      <c r="J783" s="38"/>
      <c r="K783" s="38"/>
      <c r="L783" s="39"/>
      <c r="M783" s="38"/>
      <c r="N783" s="38"/>
      <c r="O783" s="38"/>
      <c r="P783" s="38"/>
      <c r="Q783" s="38"/>
      <c r="R783" s="38"/>
      <c r="S783" s="38"/>
      <c r="BB783" s="9" t="str">
        <f t="shared" si="42"/>
        <v>Yes</v>
      </c>
      <c r="BC783" s="9" t="e">
        <f>IF(EFB!$N783=Table1[[#This Row],[ProgramTitle]],"Yes","No")</f>
        <v>#VALUE!</v>
      </c>
      <c r="BD783" s="9" t="e">
        <f>IF(EFB!$S783=Table1[[#This Row],[SeriesEpisodeTitle]],"Yes","No")</f>
        <v>#VALUE!</v>
      </c>
      <c r="BE783" s="11">
        <f t="shared" si="43"/>
        <v>0</v>
      </c>
      <c r="BF783" s="11">
        <f t="shared" si="44"/>
        <v>0</v>
      </c>
      <c r="BH783" s="36"/>
    </row>
    <row r="784" spans="3:60" x14ac:dyDescent="0.25">
      <c r="C784" s="35"/>
      <c r="L784" s="39"/>
      <c r="BB784" s="9" t="str">
        <f t="shared" si="42"/>
        <v>Yes</v>
      </c>
      <c r="BC784" s="9" t="e">
        <f>IF(EFB!$N784=Table1[[#This Row],[ProgramTitle]],"Yes","No")</f>
        <v>#VALUE!</v>
      </c>
      <c r="BD784" s="9" t="e">
        <f>IF(EFB!$S784=Table1[[#This Row],[SeriesEpisodeTitle]],"Yes","No")</f>
        <v>#VALUE!</v>
      </c>
      <c r="BE784" s="11">
        <f t="shared" si="43"/>
        <v>0</v>
      </c>
      <c r="BF784" s="11">
        <f t="shared" si="44"/>
        <v>0</v>
      </c>
      <c r="BH784" s="36"/>
    </row>
    <row r="785" spans="3:60" x14ac:dyDescent="0.25">
      <c r="C785" s="35"/>
      <c r="G785" s="38"/>
      <c r="H785" s="38"/>
      <c r="I785" s="38"/>
      <c r="J785" s="38"/>
      <c r="K785" s="38"/>
      <c r="L785" s="39"/>
      <c r="M785" s="38"/>
      <c r="N785" s="38"/>
      <c r="O785" s="38"/>
      <c r="P785" s="38"/>
      <c r="Q785" s="38"/>
      <c r="R785" s="38"/>
      <c r="S785" s="38"/>
      <c r="BB785" s="9" t="str">
        <f t="shared" si="42"/>
        <v>Yes</v>
      </c>
      <c r="BC785" s="9" t="e">
        <f>IF(EFB!$N785=Table1[[#This Row],[ProgramTitle]],"Yes","No")</f>
        <v>#VALUE!</v>
      </c>
      <c r="BD785" s="9" t="e">
        <f>IF(EFB!$S785=Table1[[#This Row],[SeriesEpisodeTitle]],"Yes","No")</f>
        <v>#VALUE!</v>
      </c>
      <c r="BE785" s="11">
        <f t="shared" si="43"/>
        <v>0</v>
      </c>
      <c r="BF785" s="11">
        <f t="shared" si="44"/>
        <v>0</v>
      </c>
      <c r="BH785" s="36"/>
    </row>
    <row r="786" spans="3:60" x14ac:dyDescent="0.25">
      <c r="C786" s="35"/>
      <c r="L786" s="39"/>
      <c r="BB786" s="9" t="str">
        <f t="shared" si="42"/>
        <v>Yes</v>
      </c>
      <c r="BC786" s="9" t="e">
        <f>IF(EFB!$N786=Table1[[#This Row],[ProgramTitle]],"Yes","No")</f>
        <v>#VALUE!</v>
      </c>
      <c r="BD786" s="9" t="e">
        <f>IF(EFB!$S786=Table1[[#This Row],[SeriesEpisodeTitle]],"Yes","No")</f>
        <v>#VALUE!</v>
      </c>
      <c r="BE786" s="11">
        <f t="shared" si="43"/>
        <v>0</v>
      </c>
      <c r="BF786" s="11">
        <f t="shared" si="44"/>
        <v>0</v>
      </c>
      <c r="BH786" s="36"/>
    </row>
    <row r="787" spans="3:60" x14ac:dyDescent="0.25">
      <c r="C787" s="35"/>
      <c r="G787" s="38"/>
      <c r="H787" s="38"/>
      <c r="I787" s="38"/>
      <c r="J787" s="38"/>
      <c r="K787" s="38"/>
      <c r="L787" s="39"/>
      <c r="M787" s="38"/>
      <c r="N787" s="38"/>
      <c r="O787" s="38"/>
      <c r="P787" s="38"/>
      <c r="Q787" s="38"/>
      <c r="R787" s="38"/>
      <c r="S787" s="38"/>
      <c r="BB787" s="9" t="str">
        <f t="shared" si="42"/>
        <v>Yes</v>
      </c>
      <c r="BC787" s="9" t="e">
        <f>IF(EFB!$N787=Table1[[#This Row],[ProgramTitle]],"Yes","No")</f>
        <v>#VALUE!</v>
      </c>
      <c r="BD787" s="9" t="e">
        <f>IF(EFB!$S787=Table1[[#This Row],[SeriesEpisodeTitle]],"Yes","No")</f>
        <v>#VALUE!</v>
      </c>
      <c r="BE787" s="11">
        <f t="shared" si="43"/>
        <v>0</v>
      </c>
      <c r="BF787" s="11">
        <f t="shared" si="44"/>
        <v>0</v>
      </c>
      <c r="BH787" s="36"/>
    </row>
    <row r="788" spans="3:60" x14ac:dyDescent="0.25">
      <c r="C788" s="35"/>
      <c r="L788" s="39"/>
      <c r="BB788" s="9" t="str">
        <f t="shared" si="42"/>
        <v>Yes</v>
      </c>
      <c r="BC788" s="9" t="e">
        <f>IF(EFB!$N788=Table1[[#This Row],[ProgramTitle]],"Yes","No")</f>
        <v>#VALUE!</v>
      </c>
      <c r="BD788" s="9" t="e">
        <f>IF(EFB!$S788=Table1[[#This Row],[SeriesEpisodeTitle]],"Yes","No")</f>
        <v>#VALUE!</v>
      </c>
      <c r="BE788" s="11">
        <f t="shared" si="43"/>
        <v>0</v>
      </c>
      <c r="BF788" s="11">
        <f t="shared" si="44"/>
        <v>0</v>
      </c>
      <c r="BH788" s="36"/>
    </row>
    <row r="789" spans="3:60" x14ac:dyDescent="0.25">
      <c r="C789" s="35"/>
      <c r="G789" s="38"/>
      <c r="H789" s="38"/>
      <c r="I789" s="38"/>
      <c r="J789" s="38"/>
      <c r="K789" s="38"/>
      <c r="L789" s="39"/>
      <c r="M789" s="38"/>
      <c r="N789" s="38"/>
      <c r="O789" s="38"/>
      <c r="P789" s="38"/>
      <c r="Q789" s="38"/>
      <c r="R789" s="38"/>
      <c r="S789" s="38"/>
      <c r="BB789" s="9" t="str">
        <f t="shared" si="42"/>
        <v>Yes</v>
      </c>
      <c r="BC789" s="9" t="e">
        <f>IF(EFB!$N789=Table1[[#This Row],[ProgramTitle]],"Yes","No")</f>
        <v>#VALUE!</v>
      </c>
      <c r="BD789" s="9" t="e">
        <f>IF(EFB!$S789=Table1[[#This Row],[SeriesEpisodeTitle]],"Yes","No")</f>
        <v>#VALUE!</v>
      </c>
      <c r="BE789" s="11">
        <f t="shared" si="43"/>
        <v>0</v>
      </c>
      <c r="BF789" s="11">
        <f t="shared" si="44"/>
        <v>0</v>
      </c>
      <c r="BH789" s="36"/>
    </row>
    <row r="790" spans="3:60" x14ac:dyDescent="0.25">
      <c r="C790" s="35"/>
      <c r="L790" s="39"/>
      <c r="BB790" s="9" t="str">
        <f t="shared" si="42"/>
        <v>Yes</v>
      </c>
      <c r="BC790" s="9" t="e">
        <f>IF(EFB!$N790=Table1[[#This Row],[ProgramTitle]],"Yes","No")</f>
        <v>#VALUE!</v>
      </c>
      <c r="BD790" s="9" t="e">
        <f>IF(EFB!$S790=Table1[[#This Row],[SeriesEpisodeTitle]],"Yes","No")</f>
        <v>#VALUE!</v>
      </c>
      <c r="BE790" s="11">
        <f t="shared" si="43"/>
        <v>0</v>
      </c>
      <c r="BF790" s="11">
        <f t="shared" si="44"/>
        <v>0</v>
      </c>
      <c r="BH790" s="36"/>
    </row>
    <row r="791" spans="3:60" x14ac:dyDescent="0.25">
      <c r="C791" s="35"/>
      <c r="G791" s="38"/>
      <c r="H791" s="38"/>
      <c r="I791" s="38"/>
      <c r="J791" s="38"/>
      <c r="K791" s="38"/>
      <c r="L791" s="39"/>
      <c r="M791" s="38"/>
      <c r="N791" s="38"/>
      <c r="O791" s="38"/>
      <c r="P791" s="38"/>
      <c r="Q791" s="38"/>
      <c r="R791" s="38"/>
      <c r="S791" s="38"/>
      <c r="BB791" s="9" t="str">
        <f t="shared" si="42"/>
        <v>Yes</v>
      </c>
      <c r="BC791" s="9" t="e">
        <f>IF(EFB!$N791=Table1[[#This Row],[ProgramTitle]],"Yes","No")</f>
        <v>#VALUE!</v>
      </c>
      <c r="BD791" s="9" t="e">
        <f>IF(EFB!$S791=Table1[[#This Row],[SeriesEpisodeTitle]],"Yes","No")</f>
        <v>#VALUE!</v>
      </c>
      <c r="BE791" s="11">
        <f t="shared" si="43"/>
        <v>0</v>
      </c>
      <c r="BF791" s="11">
        <f t="shared" si="44"/>
        <v>0</v>
      </c>
      <c r="BH791" s="36"/>
    </row>
    <row r="792" spans="3:60" x14ac:dyDescent="0.25">
      <c r="C792" s="35"/>
      <c r="L792" s="39"/>
      <c r="BB792" s="9" t="str">
        <f t="shared" si="42"/>
        <v>Yes</v>
      </c>
      <c r="BC792" s="9" t="e">
        <f>IF(EFB!$N792=Table1[[#This Row],[ProgramTitle]],"Yes","No")</f>
        <v>#VALUE!</v>
      </c>
      <c r="BD792" s="9" t="e">
        <f>IF(EFB!$S792=Table1[[#This Row],[SeriesEpisodeTitle]],"Yes","No")</f>
        <v>#VALUE!</v>
      </c>
      <c r="BE792" s="11">
        <f t="shared" si="43"/>
        <v>0</v>
      </c>
      <c r="BF792" s="11">
        <f t="shared" si="44"/>
        <v>0</v>
      </c>
      <c r="BH792" s="36"/>
    </row>
    <row r="793" spans="3:60" x14ac:dyDescent="0.25">
      <c r="C793" s="35"/>
      <c r="G793" s="38"/>
      <c r="H793" s="38"/>
      <c r="I793" s="38"/>
      <c r="J793" s="38"/>
      <c r="K793" s="38"/>
      <c r="L793" s="39"/>
      <c r="M793" s="38"/>
      <c r="N793" s="38"/>
      <c r="O793" s="38"/>
      <c r="P793" s="38"/>
      <c r="Q793" s="38"/>
      <c r="R793" s="38"/>
      <c r="S793" s="38"/>
      <c r="BB793" s="9" t="str">
        <f t="shared" si="42"/>
        <v>Yes</v>
      </c>
      <c r="BC793" s="9" t="e">
        <f>IF(EFB!$N793=Table1[[#This Row],[ProgramTitle]],"Yes","No")</f>
        <v>#VALUE!</v>
      </c>
      <c r="BD793" s="9" t="e">
        <f>IF(EFB!$S793=Table1[[#This Row],[SeriesEpisodeTitle]],"Yes","No")</f>
        <v>#VALUE!</v>
      </c>
      <c r="BE793" s="11">
        <f t="shared" si="43"/>
        <v>0</v>
      </c>
      <c r="BF793" s="11">
        <f t="shared" si="44"/>
        <v>0</v>
      </c>
      <c r="BH793" s="36"/>
    </row>
    <row r="794" spans="3:60" x14ac:dyDescent="0.25">
      <c r="C794" s="35"/>
      <c r="L794" s="39"/>
      <c r="BB794" s="9" t="str">
        <f t="shared" si="42"/>
        <v>Yes</v>
      </c>
      <c r="BC794" s="9" t="e">
        <f>IF(EFB!$N794=Table1[[#This Row],[ProgramTitle]],"Yes","No")</f>
        <v>#VALUE!</v>
      </c>
      <c r="BD794" s="9" t="e">
        <f>IF(EFB!$S794=Table1[[#This Row],[SeriesEpisodeTitle]],"Yes","No")</f>
        <v>#VALUE!</v>
      </c>
      <c r="BE794" s="11">
        <f t="shared" si="43"/>
        <v>0</v>
      </c>
      <c r="BF794" s="11">
        <f t="shared" si="44"/>
        <v>0</v>
      </c>
      <c r="BH794" s="36"/>
    </row>
    <row r="795" spans="3:60" x14ac:dyDescent="0.25">
      <c r="C795" s="35"/>
      <c r="G795" s="38"/>
      <c r="H795" s="38"/>
      <c r="I795" s="38"/>
      <c r="J795" s="38"/>
      <c r="K795" s="38"/>
      <c r="L795" s="39"/>
      <c r="M795" s="38"/>
      <c r="N795" s="38"/>
      <c r="O795" s="38"/>
      <c r="P795" s="38"/>
      <c r="Q795" s="38"/>
      <c r="R795" s="38"/>
      <c r="S795" s="38"/>
      <c r="BB795" s="9" t="str">
        <f t="shared" si="42"/>
        <v>Yes</v>
      </c>
      <c r="BC795" s="9" t="e">
        <f>IF(EFB!$N795=Table1[[#This Row],[ProgramTitle]],"Yes","No")</f>
        <v>#VALUE!</v>
      </c>
      <c r="BD795" s="9" t="e">
        <f>IF(EFB!$S795=Table1[[#This Row],[SeriesEpisodeTitle]],"Yes","No")</f>
        <v>#VALUE!</v>
      </c>
      <c r="BE795" s="11">
        <f t="shared" si="43"/>
        <v>0</v>
      </c>
      <c r="BF795" s="11">
        <f t="shared" si="44"/>
        <v>0</v>
      </c>
      <c r="BH795" s="36"/>
    </row>
    <row r="796" spans="3:60" x14ac:dyDescent="0.25">
      <c r="C796" s="35"/>
      <c r="L796" s="39"/>
      <c r="BB796" s="9" t="str">
        <f t="shared" si="42"/>
        <v>Yes</v>
      </c>
      <c r="BC796" s="9" t="e">
        <f>IF(EFB!$N796=Table1[[#This Row],[ProgramTitle]],"Yes","No")</f>
        <v>#VALUE!</v>
      </c>
      <c r="BD796" s="9" t="e">
        <f>IF(EFB!$S796=Table1[[#This Row],[SeriesEpisodeTitle]],"Yes","No")</f>
        <v>#VALUE!</v>
      </c>
      <c r="BE796" s="11">
        <f t="shared" si="43"/>
        <v>0</v>
      </c>
      <c r="BF796" s="11">
        <f t="shared" si="44"/>
        <v>0</v>
      </c>
      <c r="BH796" s="36"/>
    </row>
    <row r="797" spans="3:60" x14ac:dyDescent="0.25">
      <c r="C797" s="35"/>
      <c r="G797" s="38"/>
      <c r="H797" s="38"/>
      <c r="I797" s="38"/>
      <c r="J797" s="38"/>
      <c r="K797" s="38"/>
      <c r="L797" s="39"/>
      <c r="M797" s="38"/>
      <c r="N797" s="38"/>
      <c r="O797" s="38"/>
      <c r="P797" s="38"/>
      <c r="Q797" s="38"/>
      <c r="R797" s="38"/>
      <c r="S797" s="38"/>
      <c r="BB797" s="9" t="str">
        <f t="shared" si="42"/>
        <v>Yes</v>
      </c>
      <c r="BC797" s="9" t="e">
        <f>IF(EFB!$N797=Table1[[#This Row],[ProgramTitle]],"Yes","No")</f>
        <v>#VALUE!</v>
      </c>
      <c r="BD797" s="9" t="e">
        <f>IF(EFB!$S797=Table1[[#This Row],[SeriesEpisodeTitle]],"Yes","No")</f>
        <v>#VALUE!</v>
      </c>
      <c r="BE797" s="11">
        <f t="shared" si="43"/>
        <v>0</v>
      </c>
      <c r="BF797" s="11">
        <f t="shared" si="44"/>
        <v>0</v>
      </c>
      <c r="BH797" s="36"/>
    </row>
    <row r="798" spans="3:60" x14ac:dyDescent="0.25">
      <c r="C798" s="35"/>
      <c r="L798" s="39"/>
      <c r="BB798" s="9" t="str">
        <f t="shared" si="42"/>
        <v>Yes</v>
      </c>
      <c r="BC798" s="9" t="e">
        <f>IF(EFB!$N798=Table1[[#This Row],[ProgramTitle]],"Yes","No")</f>
        <v>#VALUE!</v>
      </c>
      <c r="BD798" s="9" t="e">
        <f>IF(EFB!$S798=Table1[[#This Row],[SeriesEpisodeTitle]],"Yes","No")</f>
        <v>#VALUE!</v>
      </c>
      <c r="BE798" s="11">
        <f t="shared" si="43"/>
        <v>0</v>
      </c>
      <c r="BF798" s="11">
        <f t="shared" si="44"/>
        <v>0</v>
      </c>
      <c r="BH798" s="36"/>
    </row>
    <row r="799" spans="3:60" x14ac:dyDescent="0.25">
      <c r="C799" s="35"/>
      <c r="G799" s="38"/>
      <c r="H799" s="38"/>
      <c r="I799" s="38"/>
      <c r="J799" s="38"/>
      <c r="K799" s="38"/>
      <c r="L799" s="39"/>
      <c r="M799" s="38"/>
      <c r="N799" s="38"/>
      <c r="O799" s="38"/>
      <c r="P799" s="38"/>
      <c r="Q799" s="38"/>
      <c r="R799" s="38"/>
      <c r="S799" s="38"/>
      <c r="BB799" s="9" t="str">
        <f t="shared" si="42"/>
        <v>Yes</v>
      </c>
      <c r="BC799" s="9" t="e">
        <f>IF(EFB!$N799=Table1[[#This Row],[ProgramTitle]],"Yes","No")</f>
        <v>#VALUE!</v>
      </c>
      <c r="BD799" s="9" t="e">
        <f>IF(EFB!$S799=Table1[[#This Row],[SeriesEpisodeTitle]],"Yes","No")</f>
        <v>#VALUE!</v>
      </c>
      <c r="BE799" s="11">
        <f t="shared" si="43"/>
        <v>0</v>
      </c>
      <c r="BF799" s="11">
        <f t="shared" si="44"/>
        <v>0</v>
      </c>
      <c r="BH799" s="36"/>
    </row>
    <row r="800" spans="3:60" x14ac:dyDescent="0.25">
      <c r="C800" s="35"/>
      <c r="L800" s="39"/>
      <c r="BB800" s="9" t="str">
        <f t="shared" si="42"/>
        <v>Yes</v>
      </c>
      <c r="BC800" s="9" t="e">
        <f>IF(EFB!$N800=Table1[[#This Row],[ProgramTitle]],"Yes","No")</f>
        <v>#VALUE!</v>
      </c>
      <c r="BD800" s="9" t="e">
        <f>IF(EFB!$S800=Table1[[#This Row],[SeriesEpisodeTitle]],"Yes","No")</f>
        <v>#VALUE!</v>
      </c>
      <c r="BE800" s="11">
        <f t="shared" si="43"/>
        <v>0</v>
      </c>
      <c r="BF800" s="11">
        <f t="shared" si="44"/>
        <v>0</v>
      </c>
      <c r="BH800" s="36"/>
    </row>
    <row r="801" spans="3:60" x14ac:dyDescent="0.25">
      <c r="C801" s="35"/>
      <c r="G801" s="38"/>
      <c r="H801" s="38"/>
      <c r="I801" s="38"/>
      <c r="J801" s="38"/>
      <c r="K801" s="38"/>
      <c r="L801" s="39"/>
      <c r="M801" s="38"/>
      <c r="N801" s="38"/>
      <c r="O801" s="38"/>
      <c r="P801" s="38"/>
      <c r="Q801" s="38"/>
      <c r="R801" s="38"/>
      <c r="S801" s="38"/>
      <c r="BB801" s="9" t="str">
        <f t="shared" si="42"/>
        <v>Yes</v>
      </c>
      <c r="BC801" s="9" t="e">
        <f>IF(EFB!$N801=Table1[[#This Row],[ProgramTitle]],"Yes","No")</f>
        <v>#VALUE!</v>
      </c>
      <c r="BD801" s="9" t="e">
        <f>IF(EFB!$S801=Table1[[#This Row],[SeriesEpisodeTitle]],"Yes","No")</f>
        <v>#VALUE!</v>
      </c>
      <c r="BE801" s="11">
        <f t="shared" si="43"/>
        <v>0</v>
      </c>
      <c r="BF801" s="11">
        <f t="shared" si="44"/>
        <v>0</v>
      </c>
      <c r="BH801" s="36"/>
    </row>
    <row r="802" spans="3:60" x14ac:dyDescent="0.25">
      <c r="C802" s="35"/>
      <c r="L802" s="39"/>
      <c r="BB802" s="9" t="str">
        <f t="shared" si="42"/>
        <v>Yes</v>
      </c>
      <c r="BC802" s="9" t="e">
        <f>IF(EFB!$N802=Table1[[#This Row],[ProgramTitle]],"Yes","No")</f>
        <v>#VALUE!</v>
      </c>
      <c r="BD802" s="9" t="e">
        <f>IF(EFB!$S802=Table1[[#This Row],[SeriesEpisodeTitle]],"Yes","No")</f>
        <v>#VALUE!</v>
      </c>
      <c r="BE802" s="11">
        <f t="shared" si="43"/>
        <v>0</v>
      </c>
      <c r="BF802" s="11">
        <f t="shared" si="44"/>
        <v>0</v>
      </c>
      <c r="BH802" s="36"/>
    </row>
    <row r="803" spans="3:60" x14ac:dyDescent="0.25">
      <c r="C803" s="35"/>
      <c r="G803" s="38"/>
      <c r="H803" s="38"/>
      <c r="I803" s="38"/>
      <c r="J803" s="38"/>
      <c r="K803" s="38"/>
      <c r="L803" s="39"/>
      <c r="M803" s="38"/>
      <c r="N803" s="38"/>
      <c r="O803" s="38"/>
      <c r="P803" s="38"/>
      <c r="Q803" s="38"/>
      <c r="R803" s="38"/>
      <c r="S803" s="38"/>
      <c r="BB803" s="9" t="str">
        <f t="shared" si="42"/>
        <v>Yes</v>
      </c>
      <c r="BC803" s="9" t="e">
        <f>IF(EFB!$N803=Table1[[#This Row],[ProgramTitle]],"Yes","No")</f>
        <v>#VALUE!</v>
      </c>
      <c r="BD803" s="9" t="e">
        <f>IF(EFB!$S803=Table1[[#This Row],[SeriesEpisodeTitle]],"Yes","No")</f>
        <v>#VALUE!</v>
      </c>
      <c r="BE803" s="11">
        <f t="shared" si="43"/>
        <v>0</v>
      </c>
      <c r="BF803" s="11">
        <f t="shared" si="44"/>
        <v>0</v>
      </c>
      <c r="BH803" s="36"/>
    </row>
    <row r="804" spans="3:60" x14ac:dyDescent="0.25">
      <c r="C804" s="35"/>
      <c r="L804" s="39"/>
      <c r="BB804" s="9" t="str">
        <f t="shared" si="42"/>
        <v>Yes</v>
      </c>
      <c r="BC804" s="9" t="e">
        <f>IF(EFB!$N804=Table1[[#This Row],[ProgramTitle]],"Yes","No")</f>
        <v>#VALUE!</v>
      </c>
      <c r="BD804" s="9" t="e">
        <f>IF(EFB!$S804=Table1[[#This Row],[SeriesEpisodeTitle]],"Yes","No")</f>
        <v>#VALUE!</v>
      </c>
      <c r="BE804" s="11">
        <f t="shared" si="43"/>
        <v>0</v>
      </c>
      <c r="BF804" s="11">
        <f t="shared" si="44"/>
        <v>0</v>
      </c>
      <c r="BH804" s="36"/>
    </row>
    <row r="805" spans="3:60" x14ac:dyDescent="0.25">
      <c r="C805" s="35"/>
      <c r="G805" s="38"/>
      <c r="H805" s="38"/>
      <c r="I805" s="38"/>
      <c r="J805" s="38"/>
      <c r="K805" s="38"/>
      <c r="L805" s="39"/>
      <c r="M805" s="38"/>
      <c r="N805" s="38"/>
      <c r="O805" s="38"/>
      <c r="P805" s="38"/>
      <c r="Q805" s="38"/>
      <c r="R805" s="38"/>
      <c r="S805" s="38"/>
      <c r="BB805" s="9" t="str">
        <f t="shared" si="42"/>
        <v>Yes</v>
      </c>
      <c r="BC805" s="9" t="e">
        <f>IF(EFB!$N805=Table1[[#This Row],[ProgramTitle]],"Yes","No")</f>
        <v>#VALUE!</v>
      </c>
      <c r="BD805" s="9" t="e">
        <f>IF(EFB!$S805=Table1[[#This Row],[SeriesEpisodeTitle]],"Yes","No")</f>
        <v>#VALUE!</v>
      </c>
      <c r="BE805" s="11">
        <f t="shared" si="43"/>
        <v>0</v>
      </c>
      <c r="BF805" s="11">
        <f t="shared" si="44"/>
        <v>0</v>
      </c>
      <c r="BH805" s="36"/>
    </row>
    <row r="806" spans="3:60" x14ac:dyDescent="0.25">
      <c r="C806" s="35"/>
      <c r="L806" s="39"/>
      <c r="BB806" s="9" t="str">
        <f t="shared" si="42"/>
        <v>Yes</v>
      </c>
      <c r="BC806" s="9" t="e">
        <f>IF(EFB!$N806=Table1[[#This Row],[ProgramTitle]],"Yes","No")</f>
        <v>#VALUE!</v>
      </c>
      <c r="BD806" s="9" t="e">
        <f>IF(EFB!$S806=Table1[[#This Row],[SeriesEpisodeTitle]],"Yes","No")</f>
        <v>#VALUE!</v>
      </c>
      <c r="BE806" s="11">
        <f t="shared" si="43"/>
        <v>0</v>
      </c>
      <c r="BF806" s="11">
        <f t="shared" si="44"/>
        <v>0</v>
      </c>
      <c r="BH806" s="36"/>
    </row>
    <row r="807" spans="3:60" x14ac:dyDescent="0.25">
      <c r="C807" s="35"/>
      <c r="G807" s="38"/>
      <c r="H807" s="38"/>
      <c r="I807" s="38"/>
      <c r="J807" s="38"/>
      <c r="K807" s="38"/>
      <c r="L807" s="39"/>
      <c r="M807" s="38"/>
      <c r="N807" s="38"/>
      <c r="O807" s="38"/>
      <c r="P807" s="38"/>
      <c r="Q807" s="38"/>
      <c r="R807" s="38"/>
      <c r="S807" s="38"/>
      <c r="BB807" s="9" t="str">
        <f t="shared" si="42"/>
        <v>Yes</v>
      </c>
      <c r="BC807" s="9" t="e">
        <f>IF(EFB!$N807=Table1[[#This Row],[ProgramTitle]],"Yes","No")</f>
        <v>#VALUE!</v>
      </c>
      <c r="BD807" s="9" t="e">
        <f>IF(EFB!$S807=Table1[[#This Row],[SeriesEpisodeTitle]],"Yes","No")</f>
        <v>#VALUE!</v>
      </c>
      <c r="BE807" s="11">
        <f t="shared" si="43"/>
        <v>0</v>
      </c>
      <c r="BF807" s="11">
        <f t="shared" si="44"/>
        <v>0</v>
      </c>
      <c r="BH807" s="36"/>
    </row>
    <row r="808" spans="3:60" x14ac:dyDescent="0.25">
      <c r="C808" s="35"/>
      <c r="L808" s="39"/>
      <c r="BB808" s="9" t="str">
        <f t="shared" si="42"/>
        <v>Yes</v>
      </c>
      <c r="BC808" s="9" t="e">
        <f>IF(EFB!$N808=Table1[[#This Row],[ProgramTitle]],"Yes","No")</f>
        <v>#VALUE!</v>
      </c>
      <c r="BD808" s="9" t="e">
        <f>IF(EFB!$S808=Table1[[#This Row],[SeriesEpisodeTitle]],"Yes","No")</f>
        <v>#VALUE!</v>
      </c>
      <c r="BE808" s="11">
        <f t="shared" si="43"/>
        <v>0</v>
      </c>
      <c r="BF808" s="11">
        <f t="shared" si="44"/>
        <v>0</v>
      </c>
      <c r="BH808" s="36"/>
    </row>
    <row r="809" spans="3:60" x14ac:dyDescent="0.25">
      <c r="C809" s="35"/>
      <c r="G809" s="38"/>
      <c r="H809" s="38"/>
      <c r="I809" s="38"/>
      <c r="J809" s="38"/>
      <c r="K809" s="38"/>
      <c r="L809" s="39"/>
      <c r="M809" s="38"/>
      <c r="N809" s="38"/>
      <c r="O809" s="38"/>
      <c r="P809" s="38"/>
      <c r="Q809" s="38"/>
      <c r="R809" s="38"/>
      <c r="S809" s="38"/>
      <c r="BB809" s="9" t="str">
        <f t="shared" si="42"/>
        <v>Yes</v>
      </c>
      <c r="BC809" s="9" t="e">
        <f>IF(EFB!$N809=Table1[[#This Row],[ProgramTitle]],"Yes","No")</f>
        <v>#VALUE!</v>
      </c>
      <c r="BD809" s="9" t="e">
        <f>IF(EFB!$S809=Table1[[#This Row],[SeriesEpisodeTitle]],"Yes","No")</f>
        <v>#VALUE!</v>
      </c>
      <c r="BE809" s="11">
        <f t="shared" si="43"/>
        <v>0</v>
      </c>
      <c r="BF809" s="11">
        <f t="shared" si="44"/>
        <v>0</v>
      </c>
      <c r="BH809" s="36"/>
    </row>
    <row r="810" spans="3:60" x14ac:dyDescent="0.25">
      <c r="C810" s="35"/>
      <c r="L810" s="39"/>
      <c r="BB810" s="9" t="str">
        <f t="shared" si="42"/>
        <v>Yes</v>
      </c>
      <c r="BC810" s="9" t="e">
        <f>IF(EFB!$N810=Table1[[#This Row],[ProgramTitle]],"Yes","No")</f>
        <v>#VALUE!</v>
      </c>
      <c r="BD810" s="9" t="e">
        <f>IF(EFB!$S810=Table1[[#This Row],[SeriesEpisodeTitle]],"Yes","No")</f>
        <v>#VALUE!</v>
      </c>
      <c r="BE810" s="11">
        <f t="shared" si="43"/>
        <v>0</v>
      </c>
      <c r="BF810" s="11">
        <f t="shared" si="44"/>
        <v>0</v>
      </c>
      <c r="BH810" s="36"/>
    </row>
    <row r="811" spans="3:60" x14ac:dyDescent="0.25">
      <c r="C811" s="35"/>
      <c r="G811" s="38"/>
      <c r="H811" s="38"/>
      <c r="I811" s="38"/>
      <c r="J811" s="38"/>
      <c r="K811" s="38"/>
      <c r="L811" s="39"/>
      <c r="M811" s="38"/>
      <c r="N811" s="38"/>
      <c r="O811" s="38"/>
      <c r="P811" s="38"/>
      <c r="Q811" s="38"/>
      <c r="R811" s="38"/>
      <c r="S811" s="38"/>
      <c r="BB811" s="9" t="str">
        <f t="shared" si="42"/>
        <v>Yes</v>
      </c>
      <c r="BC811" s="9" t="e">
        <f>IF(EFB!$N811=Table1[[#This Row],[ProgramTitle]],"Yes","No")</f>
        <v>#VALUE!</v>
      </c>
      <c r="BD811" s="9" t="e">
        <f>IF(EFB!$S811=Table1[[#This Row],[SeriesEpisodeTitle]],"Yes","No")</f>
        <v>#VALUE!</v>
      </c>
      <c r="BE811" s="11">
        <f t="shared" si="43"/>
        <v>0</v>
      </c>
      <c r="BF811" s="11">
        <f t="shared" si="44"/>
        <v>0</v>
      </c>
      <c r="BH811" s="36"/>
    </row>
    <row r="812" spans="3:60" x14ac:dyDescent="0.25">
      <c r="C812" s="35"/>
      <c r="L812" s="39"/>
      <c r="BB812" s="9" t="str">
        <f t="shared" si="42"/>
        <v>Yes</v>
      </c>
      <c r="BC812" s="9" t="e">
        <f>IF(EFB!$N812=Table1[[#This Row],[ProgramTitle]],"Yes","No")</f>
        <v>#VALUE!</v>
      </c>
      <c r="BD812" s="9" t="e">
        <f>IF(EFB!$S812=Table1[[#This Row],[SeriesEpisodeTitle]],"Yes","No")</f>
        <v>#VALUE!</v>
      </c>
      <c r="BE812" s="11">
        <f t="shared" si="43"/>
        <v>0</v>
      </c>
      <c r="BF812" s="11">
        <f t="shared" si="44"/>
        <v>0</v>
      </c>
      <c r="BH812" s="36"/>
    </row>
    <row r="813" spans="3:60" x14ac:dyDescent="0.25">
      <c r="C813" s="35"/>
      <c r="G813" s="38"/>
      <c r="H813" s="38"/>
      <c r="I813" s="38"/>
      <c r="J813" s="38"/>
      <c r="K813" s="38"/>
      <c r="L813" s="39"/>
      <c r="M813" s="38"/>
      <c r="N813" s="38"/>
      <c r="O813" s="38"/>
      <c r="P813" s="38"/>
      <c r="Q813" s="38"/>
      <c r="R813" s="38"/>
      <c r="S813" s="38"/>
      <c r="BB813" s="9" t="str">
        <f t="shared" si="42"/>
        <v>Yes</v>
      </c>
      <c r="BC813" s="9" t="e">
        <f>IF(EFB!$N813=Table1[[#This Row],[ProgramTitle]],"Yes","No")</f>
        <v>#VALUE!</v>
      </c>
      <c r="BD813" s="9" t="e">
        <f>IF(EFB!$S813=Table1[[#This Row],[SeriesEpisodeTitle]],"Yes","No")</f>
        <v>#VALUE!</v>
      </c>
      <c r="BE813" s="11">
        <f t="shared" si="43"/>
        <v>0</v>
      </c>
      <c r="BF813" s="11">
        <f t="shared" si="44"/>
        <v>0</v>
      </c>
      <c r="BH813" s="36"/>
    </row>
    <row r="814" spans="3:60" x14ac:dyDescent="0.25">
      <c r="C814" s="35"/>
      <c r="L814" s="39"/>
      <c r="BB814" s="9" t="str">
        <f t="shared" si="42"/>
        <v>Yes</v>
      </c>
      <c r="BC814" s="9" t="e">
        <f>IF(EFB!$N814=Table1[[#This Row],[ProgramTitle]],"Yes","No")</f>
        <v>#VALUE!</v>
      </c>
      <c r="BD814" s="9" t="e">
        <f>IF(EFB!$S814=Table1[[#This Row],[SeriesEpisodeTitle]],"Yes","No")</f>
        <v>#VALUE!</v>
      </c>
      <c r="BE814" s="11">
        <f t="shared" si="43"/>
        <v>0</v>
      </c>
      <c r="BF814" s="11">
        <f t="shared" si="44"/>
        <v>0</v>
      </c>
      <c r="BH814" s="36"/>
    </row>
    <row r="815" spans="3:60" x14ac:dyDescent="0.25">
      <c r="C815" s="35"/>
      <c r="G815" s="38"/>
      <c r="H815" s="38"/>
      <c r="I815" s="38"/>
      <c r="J815" s="38"/>
      <c r="K815" s="38"/>
      <c r="L815" s="39"/>
      <c r="M815" s="38"/>
      <c r="N815" s="38"/>
      <c r="O815" s="38"/>
      <c r="P815" s="38"/>
      <c r="Q815" s="38"/>
      <c r="R815" s="38"/>
      <c r="S815" s="38"/>
      <c r="BB815" s="9" t="str">
        <f t="shared" ref="BB815:BB878" si="45">IF(BE815=BF815,"Yes","No")</f>
        <v>Yes</v>
      </c>
      <c r="BC815" s="9" t="e">
        <f>IF(EFB!$N815=Table1[[#This Row],[ProgramTitle]],"Yes","No")</f>
        <v>#VALUE!</v>
      </c>
      <c r="BD815" s="9" t="e">
        <f>IF(EFB!$S815=Table1[[#This Row],[SeriesEpisodeTitle]],"Yes","No")</f>
        <v>#VALUE!</v>
      </c>
      <c r="BE815" s="11">
        <f t="shared" si="43"/>
        <v>0</v>
      </c>
      <c r="BF815" s="11">
        <f t="shared" si="44"/>
        <v>0</v>
      </c>
      <c r="BH815" s="36"/>
    </row>
    <row r="816" spans="3:60" x14ac:dyDescent="0.25">
      <c r="C816" s="35"/>
      <c r="L816" s="39"/>
      <c r="BB816" s="9" t="str">
        <f t="shared" si="45"/>
        <v>Yes</v>
      </c>
      <c r="BC816" s="9" t="e">
        <f>IF(EFB!$N816=Table1[[#This Row],[ProgramTitle]],"Yes","No")</f>
        <v>#VALUE!</v>
      </c>
      <c r="BD816" s="9" t="e">
        <f>IF(EFB!$S816=Table1[[#This Row],[SeriesEpisodeTitle]],"Yes","No")</f>
        <v>#VALUE!</v>
      </c>
      <c r="BE816" s="11">
        <f t="shared" si="43"/>
        <v>0</v>
      </c>
      <c r="BF816" s="11">
        <f t="shared" si="44"/>
        <v>0</v>
      </c>
      <c r="BH816" s="36"/>
    </row>
    <row r="817" spans="3:60" x14ac:dyDescent="0.25">
      <c r="C817" s="35"/>
      <c r="G817" s="38"/>
      <c r="H817" s="38"/>
      <c r="I817" s="38"/>
      <c r="J817" s="38"/>
      <c r="K817" s="38"/>
      <c r="L817" s="39"/>
      <c r="M817" s="38"/>
      <c r="N817" s="38"/>
      <c r="O817" s="38"/>
      <c r="P817" s="38"/>
      <c r="Q817" s="38"/>
      <c r="R817" s="38"/>
      <c r="S817" s="38"/>
      <c r="BB817" s="9" t="str">
        <f t="shared" si="45"/>
        <v>Yes</v>
      </c>
      <c r="BC817" s="9" t="e">
        <f>IF(EFB!$N817=Table1[[#This Row],[ProgramTitle]],"Yes","No")</f>
        <v>#VALUE!</v>
      </c>
      <c r="BD817" s="9" t="e">
        <f>IF(EFB!$S817=Table1[[#This Row],[SeriesEpisodeTitle]],"Yes","No")</f>
        <v>#VALUE!</v>
      </c>
      <c r="BE817" s="11">
        <f t="shared" si="43"/>
        <v>0</v>
      </c>
      <c r="BF817" s="11">
        <f t="shared" si="44"/>
        <v>0</v>
      </c>
      <c r="BH817" s="36"/>
    </row>
    <row r="818" spans="3:60" x14ac:dyDescent="0.25">
      <c r="C818" s="35"/>
      <c r="L818" s="39"/>
      <c r="BB818" s="9" t="str">
        <f t="shared" si="45"/>
        <v>Yes</v>
      </c>
      <c r="BC818" s="9" t="e">
        <f>IF(EFB!$N818=Table1[[#This Row],[ProgramTitle]],"Yes","No")</f>
        <v>#VALUE!</v>
      </c>
      <c r="BD818" s="9" t="e">
        <f>IF(EFB!$S818=Table1[[#This Row],[SeriesEpisodeTitle]],"Yes","No")</f>
        <v>#VALUE!</v>
      </c>
      <c r="BE818" s="11">
        <f t="shared" si="43"/>
        <v>0</v>
      </c>
      <c r="BF818" s="11">
        <f t="shared" si="44"/>
        <v>0</v>
      </c>
      <c r="BH818" s="36"/>
    </row>
    <row r="819" spans="3:60" x14ac:dyDescent="0.25">
      <c r="C819" s="35"/>
      <c r="G819" s="38"/>
      <c r="H819" s="38"/>
      <c r="I819" s="38"/>
      <c r="J819" s="38"/>
      <c r="K819" s="38"/>
      <c r="L819" s="39"/>
      <c r="M819" s="38"/>
      <c r="N819" s="38"/>
      <c r="O819" s="38"/>
      <c r="P819" s="38"/>
      <c r="Q819" s="38"/>
      <c r="R819" s="38"/>
      <c r="S819" s="38"/>
      <c r="BB819" s="9" t="str">
        <f t="shared" si="45"/>
        <v>Yes</v>
      </c>
      <c r="BC819" s="9" t="e">
        <f>IF(EFB!$N819=Table1[[#This Row],[ProgramTitle]],"Yes","No")</f>
        <v>#VALUE!</v>
      </c>
      <c r="BD819" s="9" t="e">
        <f>IF(EFB!$S819=Table1[[#This Row],[SeriesEpisodeTitle]],"Yes","No")</f>
        <v>#VALUE!</v>
      </c>
      <c r="BE819" s="11">
        <f t="shared" si="43"/>
        <v>0</v>
      </c>
      <c r="BF819" s="11">
        <f t="shared" si="44"/>
        <v>0</v>
      </c>
      <c r="BH819" s="36"/>
    </row>
    <row r="820" spans="3:60" x14ac:dyDescent="0.25">
      <c r="C820" s="35"/>
      <c r="L820" s="39"/>
      <c r="BB820" s="9" t="str">
        <f t="shared" si="45"/>
        <v>Yes</v>
      </c>
      <c r="BC820" s="9" t="e">
        <f>IF(EFB!$N820=Table1[[#This Row],[ProgramTitle]],"Yes","No")</f>
        <v>#VALUE!</v>
      </c>
      <c r="BD820" s="9" t="e">
        <f>IF(EFB!$S820=Table1[[#This Row],[SeriesEpisodeTitle]],"Yes","No")</f>
        <v>#VALUE!</v>
      </c>
      <c r="BE820" s="11">
        <f t="shared" si="43"/>
        <v>0</v>
      </c>
      <c r="BF820" s="11">
        <f t="shared" si="44"/>
        <v>0</v>
      </c>
      <c r="BH820" s="36"/>
    </row>
    <row r="821" spans="3:60" x14ac:dyDescent="0.25">
      <c r="C821" s="35"/>
      <c r="G821" s="38"/>
      <c r="H821" s="38"/>
      <c r="I821" s="38"/>
      <c r="J821" s="38"/>
      <c r="K821" s="38"/>
      <c r="L821" s="39"/>
      <c r="M821" s="38"/>
      <c r="N821" s="38"/>
      <c r="O821" s="38"/>
      <c r="P821" s="38"/>
      <c r="Q821" s="38"/>
      <c r="R821" s="38"/>
      <c r="S821" s="38"/>
      <c r="BB821" s="9" t="str">
        <f t="shared" si="45"/>
        <v>Yes</v>
      </c>
      <c r="BC821" s="9" t="e">
        <f>IF(EFB!$N821=Table1[[#This Row],[ProgramTitle]],"Yes","No")</f>
        <v>#VALUE!</v>
      </c>
      <c r="BD821" s="9" t="e">
        <f>IF(EFB!$S821=Table1[[#This Row],[SeriesEpisodeTitle]],"Yes","No")</f>
        <v>#VALUE!</v>
      </c>
      <c r="BE821" s="11">
        <f t="shared" si="43"/>
        <v>0</v>
      </c>
      <c r="BF821" s="11">
        <f t="shared" si="44"/>
        <v>0</v>
      </c>
      <c r="BH821" s="36"/>
    </row>
    <row r="822" spans="3:60" x14ac:dyDescent="0.25">
      <c r="C822" s="35"/>
      <c r="L822" s="39"/>
      <c r="BB822" s="9" t="str">
        <f t="shared" si="45"/>
        <v>Yes</v>
      </c>
      <c r="BC822" s="9" t="e">
        <f>IF(EFB!$N822=Table1[[#This Row],[ProgramTitle]],"Yes","No")</f>
        <v>#VALUE!</v>
      </c>
      <c r="BD822" s="9" t="e">
        <f>IF(EFB!$S822=Table1[[#This Row],[SeriesEpisodeTitle]],"Yes","No")</f>
        <v>#VALUE!</v>
      </c>
      <c r="BE822" s="11">
        <f t="shared" si="43"/>
        <v>0</v>
      </c>
      <c r="BF822" s="11">
        <f t="shared" si="44"/>
        <v>0</v>
      </c>
      <c r="BH822" s="36"/>
    </row>
    <row r="823" spans="3:60" x14ac:dyDescent="0.25">
      <c r="C823" s="35"/>
      <c r="G823" s="38"/>
      <c r="H823" s="38"/>
      <c r="I823" s="38"/>
      <c r="J823" s="38"/>
      <c r="K823" s="38"/>
      <c r="L823" s="39"/>
      <c r="M823" s="38"/>
      <c r="N823" s="38"/>
      <c r="O823" s="38"/>
      <c r="P823" s="38"/>
      <c r="Q823" s="38"/>
      <c r="R823" s="38"/>
      <c r="S823" s="38"/>
      <c r="BB823" s="9" t="str">
        <f t="shared" si="45"/>
        <v>Yes</v>
      </c>
      <c r="BC823" s="9" t="e">
        <f>IF(EFB!$N823=Table1[[#This Row],[ProgramTitle]],"Yes","No")</f>
        <v>#VALUE!</v>
      </c>
      <c r="BD823" s="9" t="e">
        <f>IF(EFB!$S823=Table1[[#This Row],[SeriesEpisodeTitle]],"Yes","No")</f>
        <v>#VALUE!</v>
      </c>
      <c r="BE823" s="11">
        <f t="shared" si="43"/>
        <v>0</v>
      </c>
      <c r="BF823" s="11">
        <f t="shared" si="44"/>
        <v>0</v>
      </c>
      <c r="BH823" s="36"/>
    </row>
    <row r="824" spans="3:60" x14ac:dyDescent="0.25">
      <c r="C824" s="35"/>
      <c r="L824" s="39"/>
      <c r="BB824" s="9" t="str">
        <f t="shared" si="45"/>
        <v>Yes</v>
      </c>
      <c r="BC824" s="9" t="e">
        <f>IF(EFB!$N824=Table1[[#This Row],[ProgramTitle]],"Yes","No")</f>
        <v>#VALUE!</v>
      </c>
      <c r="BD824" s="9" t="e">
        <f>IF(EFB!$S824=Table1[[#This Row],[SeriesEpisodeTitle]],"Yes","No")</f>
        <v>#VALUE!</v>
      </c>
      <c r="BE824" s="11">
        <f t="shared" si="43"/>
        <v>0</v>
      </c>
      <c r="BF824" s="11">
        <f t="shared" si="44"/>
        <v>0</v>
      </c>
      <c r="BH824" s="36"/>
    </row>
    <row r="825" spans="3:60" x14ac:dyDescent="0.25">
      <c r="C825" s="35"/>
      <c r="G825" s="38"/>
      <c r="H825" s="38"/>
      <c r="I825" s="38"/>
      <c r="J825" s="38"/>
      <c r="K825" s="38"/>
      <c r="L825" s="39"/>
      <c r="M825" s="38"/>
      <c r="N825" s="38"/>
      <c r="O825" s="38"/>
      <c r="P825" s="38"/>
      <c r="Q825" s="38"/>
      <c r="R825" s="38"/>
      <c r="S825" s="38"/>
      <c r="BB825" s="9" t="str">
        <f t="shared" si="45"/>
        <v>Yes</v>
      </c>
      <c r="BC825" s="9" t="e">
        <f>IF(EFB!$N825=Table1[[#This Row],[ProgramTitle]],"Yes","No")</f>
        <v>#VALUE!</v>
      </c>
      <c r="BD825" s="9" t="e">
        <f>IF(EFB!$S825=Table1[[#This Row],[SeriesEpisodeTitle]],"Yes","No")</f>
        <v>#VALUE!</v>
      </c>
      <c r="BE825" s="11">
        <f t="shared" si="43"/>
        <v>0</v>
      </c>
      <c r="BF825" s="11">
        <f t="shared" si="44"/>
        <v>0</v>
      </c>
      <c r="BH825" s="36"/>
    </row>
    <row r="826" spans="3:60" x14ac:dyDescent="0.25">
      <c r="C826" s="35"/>
      <c r="L826" s="39"/>
      <c r="BB826" s="9" t="str">
        <f t="shared" si="45"/>
        <v>Yes</v>
      </c>
      <c r="BC826" s="9" t="e">
        <f>IF(EFB!$N826=Table1[[#This Row],[ProgramTitle]],"Yes","No")</f>
        <v>#VALUE!</v>
      </c>
      <c r="BD826" s="9" t="e">
        <f>IF(EFB!$S826=Table1[[#This Row],[SeriesEpisodeTitle]],"Yes","No")</f>
        <v>#VALUE!</v>
      </c>
      <c r="BE826" s="11">
        <f t="shared" si="43"/>
        <v>0</v>
      </c>
      <c r="BF826" s="11">
        <f t="shared" si="44"/>
        <v>0</v>
      </c>
      <c r="BH826" s="36"/>
    </row>
    <row r="827" spans="3:60" x14ac:dyDescent="0.25">
      <c r="C827" s="35"/>
      <c r="G827" s="38"/>
      <c r="H827" s="38"/>
      <c r="I827" s="38"/>
      <c r="J827" s="38"/>
      <c r="K827" s="38"/>
      <c r="L827" s="39"/>
      <c r="M827" s="38"/>
      <c r="N827" s="38"/>
      <c r="O827" s="38"/>
      <c r="P827" s="38"/>
      <c r="Q827" s="38"/>
      <c r="R827" s="38"/>
      <c r="S827" s="38"/>
      <c r="BB827" s="9" t="str">
        <f t="shared" si="45"/>
        <v>Yes</v>
      </c>
      <c r="BC827" s="9" t="e">
        <f>IF(EFB!$N827=Table1[[#This Row],[ProgramTitle]],"Yes","No")</f>
        <v>#VALUE!</v>
      </c>
      <c r="BD827" s="9" t="e">
        <f>IF(EFB!$S827=Table1[[#This Row],[SeriesEpisodeTitle]],"Yes","No")</f>
        <v>#VALUE!</v>
      </c>
      <c r="BE827" s="11">
        <f t="shared" si="43"/>
        <v>0</v>
      </c>
      <c r="BF827" s="11">
        <f t="shared" si="44"/>
        <v>0</v>
      </c>
      <c r="BH827" s="36"/>
    </row>
    <row r="828" spans="3:60" x14ac:dyDescent="0.25">
      <c r="C828" s="35"/>
      <c r="L828" s="39"/>
      <c r="BB828" s="9" t="str">
        <f t="shared" si="45"/>
        <v>Yes</v>
      </c>
      <c r="BC828" s="9" t="e">
        <f>IF(EFB!$N828=Table1[[#This Row],[ProgramTitle]],"Yes","No")</f>
        <v>#VALUE!</v>
      </c>
      <c r="BD828" s="9" t="e">
        <f>IF(EFB!$S828=Table1[[#This Row],[SeriesEpisodeTitle]],"Yes","No")</f>
        <v>#VALUE!</v>
      </c>
      <c r="BE828" s="11">
        <f t="shared" si="43"/>
        <v>0</v>
      </c>
      <c r="BF828" s="11">
        <f t="shared" si="44"/>
        <v>0</v>
      </c>
      <c r="BH828" s="36"/>
    </row>
    <row r="829" spans="3:60" x14ac:dyDescent="0.25">
      <c r="C829" s="35"/>
      <c r="G829" s="38"/>
      <c r="H829" s="38"/>
      <c r="I829" s="38"/>
      <c r="J829" s="38"/>
      <c r="K829" s="38"/>
      <c r="L829" s="39"/>
      <c r="M829" s="38"/>
      <c r="N829" s="38"/>
      <c r="O829" s="38"/>
      <c r="P829" s="38"/>
      <c r="Q829" s="38"/>
      <c r="R829" s="38"/>
      <c r="S829" s="38"/>
      <c r="BB829" s="9" t="str">
        <f t="shared" si="45"/>
        <v>Yes</v>
      </c>
      <c r="BC829" s="9" t="e">
        <f>IF(EFB!$N829=Table1[[#This Row],[ProgramTitle]],"Yes","No")</f>
        <v>#VALUE!</v>
      </c>
      <c r="BD829" s="9" t="e">
        <f>IF(EFB!$S829=Table1[[#This Row],[SeriesEpisodeTitle]],"Yes","No")</f>
        <v>#VALUE!</v>
      </c>
      <c r="BE829" s="11">
        <f t="shared" si="43"/>
        <v>0</v>
      </c>
      <c r="BF829" s="11">
        <f t="shared" si="44"/>
        <v>0</v>
      </c>
      <c r="BH829" s="36"/>
    </row>
    <row r="830" spans="3:60" x14ac:dyDescent="0.25">
      <c r="C830" s="35"/>
      <c r="L830" s="39"/>
      <c r="BB830" s="9" t="str">
        <f t="shared" si="45"/>
        <v>Yes</v>
      </c>
      <c r="BC830" s="9" t="e">
        <f>IF(EFB!$N830=Table1[[#This Row],[ProgramTitle]],"Yes","No")</f>
        <v>#VALUE!</v>
      </c>
      <c r="BD830" s="9" t="e">
        <f>IF(EFB!$S830=Table1[[#This Row],[SeriesEpisodeTitle]],"Yes","No")</f>
        <v>#VALUE!</v>
      </c>
      <c r="BE830" s="11">
        <f t="shared" si="43"/>
        <v>0</v>
      </c>
      <c r="BF830" s="11">
        <f t="shared" si="44"/>
        <v>0</v>
      </c>
      <c r="BH830" s="36"/>
    </row>
    <row r="831" spans="3:60" x14ac:dyDescent="0.25">
      <c r="C831" s="35"/>
      <c r="G831" s="38"/>
      <c r="H831" s="38"/>
      <c r="I831" s="38"/>
      <c r="J831" s="38"/>
      <c r="K831" s="38"/>
      <c r="L831" s="39"/>
      <c r="M831" s="38"/>
      <c r="N831" s="38"/>
      <c r="O831" s="38"/>
      <c r="P831" s="38"/>
      <c r="Q831" s="38"/>
      <c r="R831" s="38"/>
      <c r="S831" s="38"/>
      <c r="BB831" s="9" t="str">
        <f t="shared" si="45"/>
        <v>Yes</v>
      </c>
      <c r="BC831" s="9" t="e">
        <f>IF(EFB!$N831=Table1[[#This Row],[ProgramTitle]],"Yes","No")</f>
        <v>#VALUE!</v>
      </c>
      <c r="BD831" s="9" t="e">
        <f>IF(EFB!$S831=Table1[[#This Row],[SeriesEpisodeTitle]],"Yes","No")</f>
        <v>#VALUE!</v>
      </c>
      <c r="BE831" s="11">
        <f t="shared" si="43"/>
        <v>0</v>
      </c>
      <c r="BF831" s="11">
        <f t="shared" si="44"/>
        <v>0</v>
      </c>
      <c r="BH831" s="36"/>
    </row>
    <row r="832" spans="3:60" x14ac:dyDescent="0.25">
      <c r="C832" s="35"/>
      <c r="L832" s="39"/>
      <c r="BB832" s="9" t="str">
        <f t="shared" si="45"/>
        <v>Yes</v>
      </c>
      <c r="BC832" s="9" t="e">
        <f>IF(EFB!$N832=Table1[[#This Row],[ProgramTitle]],"Yes","No")</f>
        <v>#VALUE!</v>
      </c>
      <c r="BD832" s="9" t="e">
        <f>IF(EFB!$S832=Table1[[#This Row],[SeriesEpisodeTitle]],"Yes","No")</f>
        <v>#VALUE!</v>
      </c>
      <c r="BE832" s="11">
        <f t="shared" si="43"/>
        <v>0</v>
      </c>
      <c r="BF832" s="11">
        <f t="shared" si="44"/>
        <v>0</v>
      </c>
      <c r="BH832" s="36"/>
    </row>
    <row r="833" spans="3:60" x14ac:dyDescent="0.25">
      <c r="C833" s="35"/>
      <c r="G833" s="38"/>
      <c r="H833" s="38"/>
      <c r="I833" s="38"/>
      <c r="J833" s="38"/>
      <c r="K833" s="38"/>
      <c r="L833" s="39"/>
      <c r="M833" s="38"/>
      <c r="N833" s="38"/>
      <c r="O833" s="38"/>
      <c r="P833" s="38"/>
      <c r="Q833" s="38"/>
      <c r="R833" s="38"/>
      <c r="S833" s="38"/>
      <c r="BB833" s="9" t="str">
        <f t="shared" si="45"/>
        <v>Yes</v>
      </c>
      <c r="BC833" s="9" t="e">
        <f>IF(EFB!$N833=Table1[[#This Row],[ProgramTitle]],"Yes","No")</f>
        <v>#VALUE!</v>
      </c>
      <c r="BD833" s="9" t="e">
        <f>IF(EFB!$S833=Table1[[#This Row],[SeriesEpisodeTitle]],"Yes","No")</f>
        <v>#VALUE!</v>
      </c>
      <c r="BE833" s="11">
        <f t="shared" si="43"/>
        <v>0</v>
      </c>
      <c r="BF833" s="11">
        <f t="shared" si="44"/>
        <v>0</v>
      </c>
      <c r="BH833" s="36"/>
    </row>
    <row r="834" spans="3:60" x14ac:dyDescent="0.25">
      <c r="C834" s="35"/>
      <c r="L834" s="39"/>
      <c r="BB834" s="9" t="str">
        <f t="shared" si="45"/>
        <v>Yes</v>
      </c>
      <c r="BC834" s="9" t="e">
        <f>IF(EFB!$N834=Table1[[#This Row],[ProgramTitle]],"Yes","No")</f>
        <v>#VALUE!</v>
      </c>
      <c r="BD834" s="9" t="e">
        <f>IF(EFB!$S834=Table1[[#This Row],[SeriesEpisodeTitle]],"Yes","No")</f>
        <v>#VALUE!</v>
      </c>
      <c r="BE834" s="11">
        <f t="shared" si="43"/>
        <v>0</v>
      </c>
      <c r="BF834" s="11">
        <f t="shared" si="44"/>
        <v>0</v>
      </c>
      <c r="BH834" s="36"/>
    </row>
    <row r="835" spans="3:60" x14ac:dyDescent="0.25">
      <c r="C835" s="35"/>
      <c r="G835" s="38"/>
      <c r="H835" s="38"/>
      <c r="I835" s="38"/>
      <c r="J835" s="38"/>
      <c r="K835" s="38"/>
      <c r="L835" s="39"/>
      <c r="M835" s="38"/>
      <c r="N835" s="38"/>
      <c r="O835" s="38"/>
      <c r="P835" s="38"/>
      <c r="Q835" s="38"/>
      <c r="R835" s="38"/>
      <c r="S835" s="38"/>
      <c r="BB835" s="9" t="str">
        <f t="shared" si="45"/>
        <v>Yes</v>
      </c>
      <c r="BC835" s="9" t="e">
        <f>IF(EFB!$N835=Table1[[#This Row],[ProgramTitle]],"Yes","No")</f>
        <v>#VALUE!</v>
      </c>
      <c r="BD835" s="9" t="e">
        <f>IF(EFB!$S835=Table1[[#This Row],[SeriesEpisodeTitle]],"Yes","No")</f>
        <v>#VALUE!</v>
      </c>
      <c r="BE835" s="11">
        <f t="shared" ref="BE835:BE898" si="46">TIME(HOUR(C835),MINUTE(C835),SECOND(0))</f>
        <v>0</v>
      </c>
      <c r="BF835" s="11">
        <f t="shared" ref="BF835:BF898" si="47">TIME(HOUR(L835),MINUTE(L835),SECOND(0))</f>
        <v>0</v>
      </c>
      <c r="BH835" s="36"/>
    </row>
    <row r="836" spans="3:60" x14ac:dyDescent="0.25">
      <c r="C836" s="35"/>
      <c r="L836" s="39"/>
      <c r="BB836" s="9" t="str">
        <f t="shared" si="45"/>
        <v>Yes</v>
      </c>
      <c r="BC836" s="9" t="e">
        <f>IF(EFB!$N836=Table1[[#This Row],[ProgramTitle]],"Yes","No")</f>
        <v>#VALUE!</v>
      </c>
      <c r="BD836" s="9" t="e">
        <f>IF(EFB!$S836=Table1[[#This Row],[SeriesEpisodeTitle]],"Yes","No")</f>
        <v>#VALUE!</v>
      </c>
      <c r="BE836" s="11">
        <f t="shared" si="46"/>
        <v>0</v>
      </c>
      <c r="BF836" s="11">
        <f t="shared" si="47"/>
        <v>0</v>
      </c>
      <c r="BH836" s="36"/>
    </row>
    <row r="837" spans="3:60" x14ac:dyDescent="0.25">
      <c r="C837" s="35"/>
      <c r="G837" s="38"/>
      <c r="H837" s="38"/>
      <c r="I837" s="38"/>
      <c r="J837" s="38"/>
      <c r="K837" s="38"/>
      <c r="L837" s="39"/>
      <c r="M837" s="38"/>
      <c r="N837" s="38"/>
      <c r="O837" s="38"/>
      <c r="P837" s="38"/>
      <c r="Q837" s="38"/>
      <c r="R837" s="38"/>
      <c r="S837" s="38"/>
      <c r="BB837" s="9" t="str">
        <f t="shared" si="45"/>
        <v>Yes</v>
      </c>
      <c r="BC837" s="9" t="e">
        <f>IF(EFB!$N837=Table1[[#This Row],[ProgramTitle]],"Yes","No")</f>
        <v>#VALUE!</v>
      </c>
      <c r="BD837" s="9" t="e">
        <f>IF(EFB!$S837=Table1[[#This Row],[SeriesEpisodeTitle]],"Yes","No")</f>
        <v>#VALUE!</v>
      </c>
      <c r="BE837" s="11">
        <f t="shared" si="46"/>
        <v>0</v>
      </c>
      <c r="BF837" s="11">
        <f t="shared" si="47"/>
        <v>0</v>
      </c>
      <c r="BH837" s="36"/>
    </row>
    <row r="838" spans="3:60" x14ac:dyDescent="0.25">
      <c r="C838" s="35"/>
      <c r="L838" s="39"/>
      <c r="BB838" s="9" t="str">
        <f t="shared" si="45"/>
        <v>Yes</v>
      </c>
      <c r="BC838" s="9" t="e">
        <f>IF(EFB!$N838=Table1[[#This Row],[ProgramTitle]],"Yes","No")</f>
        <v>#VALUE!</v>
      </c>
      <c r="BD838" s="9" t="e">
        <f>IF(EFB!$S838=Table1[[#This Row],[SeriesEpisodeTitle]],"Yes","No")</f>
        <v>#VALUE!</v>
      </c>
      <c r="BE838" s="11">
        <f t="shared" si="46"/>
        <v>0</v>
      </c>
      <c r="BF838" s="11">
        <f t="shared" si="47"/>
        <v>0</v>
      </c>
      <c r="BH838" s="36"/>
    </row>
    <row r="839" spans="3:60" x14ac:dyDescent="0.25">
      <c r="C839" s="35"/>
      <c r="G839" s="38"/>
      <c r="H839" s="38"/>
      <c r="I839" s="38"/>
      <c r="J839" s="38"/>
      <c r="K839" s="38"/>
      <c r="L839" s="39"/>
      <c r="M839" s="38"/>
      <c r="N839" s="38"/>
      <c r="O839" s="38"/>
      <c r="P839" s="38"/>
      <c r="Q839" s="38"/>
      <c r="R839" s="38"/>
      <c r="S839" s="38"/>
      <c r="BB839" s="9" t="str">
        <f t="shared" si="45"/>
        <v>Yes</v>
      </c>
      <c r="BC839" s="9" t="e">
        <f>IF(EFB!$N839=Table1[[#This Row],[ProgramTitle]],"Yes","No")</f>
        <v>#VALUE!</v>
      </c>
      <c r="BD839" s="9" t="e">
        <f>IF(EFB!$S839=Table1[[#This Row],[SeriesEpisodeTitle]],"Yes","No")</f>
        <v>#VALUE!</v>
      </c>
      <c r="BE839" s="11">
        <f t="shared" si="46"/>
        <v>0</v>
      </c>
      <c r="BF839" s="11">
        <f t="shared" si="47"/>
        <v>0</v>
      </c>
      <c r="BH839" s="36"/>
    </row>
    <row r="840" spans="3:60" x14ac:dyDescent="0.25">
      <c r="C840" s="35"/>
      <c r="L840" s="39"/>
      <c r="BB840" s="9" t="str">
        <f t="shared" si="45"/>
        <v>Yes</v>
      </c>
      <c r="BC840" s="9" t="e">
        <f>IF(EFB!$N840=Table1[[#This Row],[ProgramTitle]],"Yes","No")</f>
        <v>#VALUE!</v>
      </c>
      <c r="BD840" s="9" t="e">
        <f>IF(EFB!$S840=Table1[[#This Row],[SeriesEpisodeTitle]],"Yes","No")</f>
        <v>#VALUE!</v>
      </c>
      <c r="BE840" s="11">
        <f t="shared" si="46"/>
        <v>0</v>
      </c>
      <c r="BF840" s="11">
        <f t="shared" si="47"/>
        <v>0</v>
      </c>
      <c r="BH840" s="36"/>
    </row>
    <row r="841" spans="3:60" x14ac:dyDescent="0.25">
      <c r="C841" s="35"/>
      <c r="G841" s="38"/>
      <c r="H841" s="38"/>
      <c r="I841" s="38"/>
      <c r="J841" s="38"/>
      <c r="K841" s="38"/>
      <c r="L841" s="39"/>
      <c r="M841" s="38"/>
      <c r="N841" s="38"/>
      <c r="O841" s="38"/>
      <c r="P841" s="38"/>
      <c r="Q841" s="38"/>
      <c r="R841" s="38"/>
      <c r="S841" s="38"/>
      <c r="BB841" s="9" t="str">
        <f t="shared" si="45"/>
        <v>Yes</v>
      </c>
      <c r="BC841" s="9" t="e">
        <f>IF(EFB!$N841=Table1[[#This Row],[ProgramTitle]],"Yes","No")</f>
        <v>#VALUE!</v>
      </c>
      <c r="BD841" s="9" t="e">
        <f>IF(EFB!$S841=Table1[[#This Row],[SeriesEpisodeTitle]],"Yes","No")</f>
        <v>#VALUE!</v>
      </c>
      <c r="BE841" s="11">
        <f t="shared" si="46"/>
        <v>0</v>
      </c>
      <c r="BF841" s="11">
        <f t="shared" si="47"/>
        <v>0</v>
      </c>
      <c r="BH841" s="36"/>
    </row>
    <row r="842" spans="3:60" x14ac:dyDescent="0.25">
      <c r="C842" s="35"/>
      <c r="L842" s="39"/>
      <c r="BB842" s="9" t="str">
        <f t="shared" si="45"/>
        <v>Yes</v>
      </c>
      <c r="BC842" s="9" t="e">
        <f>IF(EFB!$N842=Table1[[#This Row],[ProgramTitle]],"Yes","No")</f>
        <v>#VALUE!</v>
      </c>
      <c r="BD842" s="9" t="e">
        <f>IF(EFB!$S842=Table1[[#This Row],[SeriesEpisodeTitle]],"Yes","No")</f>
        <v>#VALUE!</v>
      </c>
      <c r="BE842" s="11">
        <f t="shared" si="46"/>
        <v>0</v>
      </c>
      <c r="BF842" s="11">
        <f t="shared" si="47"/>
        <v>0</v>
      </c>
      <c r="BH842" s="36"/>
    </row>
    <row r="843" spans="3:60" x14ac:dyDescent="0.25">
      <c r="C843" s="35"/>
      <c r="G843" s="38"/>
      <c r="H843" s="38"/>
      <c r="I843" s="38"/>
      <c r="J843" s="38"/>
      <c r="K843" s="38"/>
      <c r="L843" s="39"/>
      <c r="M843" s="38"/>
      <c r="N843" s="38"/>
      <c r="O843" s="38"/>
      <c r="P843" s="38"/>
      <c r="Q843" s="38"/>
      <c r="R843" s="38"/>
      <c r="S843" s="38"/>
      <c r="BB843" s="9" t="str">
        <f t="shared" si="45"/>
        <v>Yes</v>
      </c>
      <c r="BC843" s="9" t="e">
        <f>IF(EFB!$N843=Table1[[#This Row],[ProgramTitle]],"Yes","No")</f>
        <v>#VALUE!</v>
      </c>
      <c r="BD843" s="9" t="e">
        <f>IF(EFB!$S843=Table1[[#This Row],[SeriesEpisodeTitle]],"Yes","No")</f>
        <v>#VALUE!</v>
      </c>
      <c r="BE843" s="11">
        <f t="shared" si="46"/>
        <v>0</v>
      </c>
      <c r="BF843" s="11">
        <f t="shared" si="47"/>
        <v>0</v>
      </c>
      <c r="BH843" s="36"/>
    </row>
    <row r="844" spans="3:60" x14ac:dyDescent="0.25">
      <c r="C844" s="35"/>
      <c r="L844" s="39"/>
      <c r="BB844" s="9" t="str">
        <f t="shared" si="45"/>
        <v>Yes</v>
      </c>
      <c r="BC844" s="9" t="e">
        <f>IF(EFB!$N844=Table1[[#This Row],[ProgramTitle]],"Yes","No")</f>
        <v>#VALUE!</v>
      </c>
      <c r="BD844" s="9" t="e">
        <f>IF(EFB!$S844=Table1[[#This Row],[SeriesEpisodeTitle]],"Yes","No")</f>
        <v>#VALUE!</v>
      </c>
      <c r="BE844" s="11">
        <f t="shared" si="46"/>
        <v>0</v>
      </c>
      <c r="BF844" s="11">
        <f t="shared" si="47"/>
        <v>0</v>
      </c>
      <c r="BH844" s="36"/>
    </row>
    <row r="845" spans="3:60" x14ac:dyDescent="0.25">
      <c r="C845" s="35"/>
      <c r="G845" s="38"/>
      <c r="H845" s="38"/>
      <c r="I845" s="38"/>
      <c r="J845" s="38"/>
      <c r="K845" s="38"/>
      <c r="L845" s="39"/>
      <c r="M845" s="38"/>
      <c r="N845" s="38"/>
      <c r="O845" s="38"/>
      <c r="P845" s="38"/>
      <c r="Q845" s="38"/>
      <c r="R845" s="38"/>
      <c r="S845" s="38"/>
      <c r="BB845" s="9" t="str">
        <f t="shared" si="45"/>
        <v>Yes</v>
      </c>
      <c r="BC845" s="9" t="e">
        <f>IF(EFB!$N845=Table1[[#This Row],[ProgramTitle]],"Yes","No")</f>
        <v>#VALUE!</v>
      </c>
      <c r="BD845" s="9" t="e">
        <f>IF(EFB!$S845=Table1[[#This Row],[SeriesEpisodeTitle]],"Yes","No")</f>
        <v>#VALUE!</v>
      </c>
      <c r="BE845" s="11">
        <f t="shared" si="46"/>
        <v>0</v>
      </c>
      <c r="BF845" s="11">
        <f t="shared" si="47"/>
        <v>0</v>
      </c>
      <c r="BH845" s="36"/>
    </row>
    <row r="846" spans="3:60" x14ac:dyDescent="0.25">
      <c r="C846" s="35"/>
      <c r="L846" s="39"/>
      <c r="BB846" s="9" t="str">
        <f t="shared" si="45"/>
        <v>Yes</v>
      </c>
      <c r="BC846" s="9" t="e">
        <f>IF(EFB!$N846=Table1[[#This Row],[ProgramTitle]],"Yes","No")</f>
        <v>#VALUE!</v>
      </c>
      <c r="BD846" s="9" t="e">
        <f>IF(EFB!$S846=Table1[[#This Row],[SeriesEpisodeTitle]],"Yes","No")</f>
        <v>#VALUE!</v>
      </c>
      <c r="BE846" s="11">
        <f t="shared" si="46"/>
        <v>0</v>
      </c>
      <c r="BF846" s="11">
        <f t="shared" si="47"/>
        <v>0</v>
      </c>
      <c r="BH846" s="36"/>
    </row>
    <row r="847" spans="3:60" x14ac:dyDescent="0.25">
      <c r="C847" s="35"/>
      <c r="G847" s="38"/>
      <c r="H847" s="38"/>
      <c r="I847" s="38"/>
      <c r="J847" s="38"/>
      <c r="K847" s="38"/>
      <c r="L847" s="39"/>
      <c r="M847" s="38"/>
      <c r="N847" s="38"/>
      <c r="O847" s="38"/>
      <c r="P847" s="38"/>
      <c r="Q847" s="38"/>
      <c r="R847" s="38"/>
      <c r="S847" s="38"/>
      <c r="BB847" s="9" t="str">
        <f t="shared" si="45"/>
        <v>Yes</v>
      </c>
      <c r="BC847" s="9" t="e">
        <f>IF(EFB!$N847=Table1[[#This Row],[ProgramTitle]],"Yes","No")</f>
        <v>#VALUE!</v>
      </c>
      <c r="BD847" s="9" t="e">
        <f>IF(EFB!$S847=Table1[[#This Row],[SeriesEpisodeTitle]],"Yes","No")</f>
        <v>#VALUE!</v>
      </c>
      <c r="BE847" s="11">
        <f t="shared" si="46"/>
        <v>0</v>
      </c>
      <c r="BF847" s="11">
        <f t="shared" si="47"/>
        <v>0</v>
      </c>
      <c r="BH847" s="36"/>
    </row>
    <row r="848" spans="3:60" x14ac:dyDescent="0.25">
      <c r="C848" s="35"/>
      <c r="L848" s="39"/>
      <c r="BB848" s="9" t="str">
        <f t="shared" si="45"/>
        <v>Yes</v>
      </c>
      <c r="BC848" s="9" t="e">
        <f>IF(EFB!$N848=Table1[[#This Row],[ProgramTitle]],"Yes","No")</f>
        <v>#VALUE!</v>
      </c>
      <c r="BD848" s="9" t="e">
        <f>IF(EFB!$S848=Table1[[#This Row],[SeriesEpisodeTitle]],"Yes","No")</f>
        <v>#VALUE!</v>
      </c>
      <c r="BE848" s="11">
        <f t="shared" si="46"/>
        <v>0</v>
      </c>
      <c r="BF848" s="11">
        <f t="shared" si="47"/>
        <v>0</v>
      </c>
      <c r="BH848" s="36"/>
    </row>
    <row r="849" spans="3:60" x14ac:dyDescent="0.25">
      <c r="C849" s="35"/>
      <c r="G849" s="38"/>
      <c r="H849" s="38"/>
      <c r="I849" s="38"/>
      <c r="J849" s="38"/>
      <c r="K849" s="38"/>
      <c r="L849" s="39"/>
      <c r="M849" s="38"/>
      <c r="N849" s="38"/>
      <c r="O849" s="38"/>
      <c r="P849" s="38"/>
      <c r="Q849" s="38"/>
      <c r="R849" s="38"/>
      <c r="S849" s="38"/>
      <c r="BB849" s="9" t="str">
        <f t="shared" si="45"/>
        <v>Yes</v>
      </c>
      <c r="BC849" s="9" t="e">
        <f>IF(EFB!$N849=Table1[[#This Row],[ProgramTitle]],"Yes","No")</f>
        <v>#VALUE!</v>
      </c>
      <c r="BD849" s="9" t="e">
        <f>IF(EFB!$S849=Table1[[#This Row],[SeriesEpisodeTitle]],"Yes","No")</f>
        <v>#VALUE!</v>
      </c>
      <c r="BE849" s="11">
        <f t="shared" si="46"/>
        <v>0</v>
      </c>
      <c r="BF849" s="11">
        <f t="shared" si="47"/>
        <v>0</v>
      </c>
      <c r="BH849" s="36"/>
    </row>
    <row r="850" spans="3:60" x14ac:dyDescent="0.25">
      <c r="C850" s="35"/>
      <c r="L850" s="39"/>
      <c r="BB850" s="9" t="str">
        <f t="shared" si="45"/>
        <v>Yes</v>
      </c>
      <c r="BC850" s="9" t="e">
        <f>IF(EFB!$N850=Table1[[#This Row],[ProgramTitle]],"Yes","No")</f>
        <v>#VALUE!</v>
      </c>
      <c r="BD850" s="9" t="e">
        <f>IF(EFB!$S850=Table1[[#This Row],[SeriesEpisodeTitle]],"Yes","No")</f>
        <v>#VALUE!</v>
      </c>
      <c r="BE850" s="11">
        <f t="shared" si="46"/>
        <v>0</v>
      </c>
      <c r="BF850" s="11">
        <f t="shared" si="47"/>
        <v>0</v>
      </c>
      <c r="BH850" s="36"/>
    </row>
    <row r="851" spans="3:60" x14ac:dyDescent="0.25">
      <c r="C851" s="35"/>
      <c r="G851" s="38"/>
      <c r="H851" s="38"/>
      <c r="I851" s="38"/>
      <c r="J851" s="38"/>
      <c r="K851" s="38"/>
      <c r="L851" s="39"/>
      <c r="M851" s="38"/>
      <c r="N851" s="38"/>
      <c r="O851" s="38"/>
      <c r="P851" s="38"/>
      <c r="Q851" s="38"/>
      <c r="R851" s="38"/>
      <c r="S851" s="38"/>
      <c r="BB851" s="9" t="str">
        <f t="shared" si="45"/>
        <v>Yes</v>
      </c>
      <c r="BC851" s="9" t="e">
        <f>IF(EFB!$N851=Table1[[#This Row],[ProgramTitle]],"Yes","No")</f>
        <v>#VALUE!</v>
      </c>
      <c r="BD851" s="9" t="e">
        <f>IF(EFB!$S851=Table1[[#This Row],[SeriesEpisodeTitle]],"Yes","No")</f>
        <v>#VALUE!</v>
      </c>
      <c r="BE851" s="11">
        <f t="shared" si="46"/>
        <v>0</v>
      </c>
      <c r="BF851" s="11">
        <f t="shared" si="47"/>
        <v>0</v>
      </c>
      <c r="BH851" s="36"/>
    </row>
    <row r="852" spans="3:60" x14ac:dyDescent="0.25">
      <c r="C852" s="35"/>
      <c r="L852" s="39"/>
      <c r="BB852" s="9" t="str">
        <f t="shared" si="45"/>
        <v>Yes</v>
      </c>
      <c r="BC852" s="9" t="e">
        <f>IF(EFB!$N852=Table1[[#This Row],[ProgramTitle]],"Yes","No")</f>
        <v>#VALUE!</v>
      </c>
      <c r="BD852" s="9" t="e">
        <f>IF(EFB!$S852=Table1[[#This Row],[SeriesEpisodeTitle]],"Yes","No")</f>
        <v>#VALUE!</v>
      </c>
      <c r="BE852" s="11">
        <f t="shared" si="46"/>
        <v>0</v>
      </c>
      <c r="BF852" s="11">
        <f t="shared" si="47"/>
        <v>0</v>
      </c>
      <c r="BH852" s="36"/>
    </row>
    <row r="853" spans="3:60" x14ac:dyDescent="0.25">
      <c r="C853" s="35"/>
      <c r="G853" s="38"/>
      <c r="H853" s="38"/>
      <c r="I853" s="38"/>
      <c r="J853" s="38"/>
      <c r="K853" s="38"/>
      <c r="L853" s="39"/>
      <c r="M853" s="38"/>
      <c r="N853" s="38"/>
      <c r="O853" s="38"/>
      <c r="P853" s="38"/>
      <c r="Q853" s="38"/>
      <c r="R853" s="38"/>
      <c r="S853" s="38"/>
      <c r="BB853" s="9" t="str">
        <f t="shared" si="45"/>
        <v>Yes</v>
      </c>
      <c r="BC853" s="9" t="e">
        <f>IF(EFB!$N853=Table1[[#This Row],[ProgramTitle]],"Yes","No")</f>
        <v>#VALUE!</v>
      </c>
      <c r="BD853" s="9" t="e">
        <f>IF(EFB!$S853=Table1[[#This Row],[SeriesEpisodeTitle]],"Yes","No")</f>
        <v>#VALUE!</v>
      </c>
      <c r="BE853" s="11">
        <f t="shared" si="46"/>
        <v>0</v>
      </c>
      <c r="BF853" s="11">
        <f t="shared" si="47"/>
        <v>0</v>
      </c>
      <c r="BH853" s="36"/>
    </row>
    <row r="854" spans="3:60" x14ac:dyDescent="0.25">
      <c r="C854" s="35"/>
      <c r="L854" s="39"/>
      <c r="BB854" s="9" t="str">
        <f t="shared" si="45"/>
        <v>Yes</v>
      </c>
      <c r="BC854" s="9" t="e">
        <f>IF(EFB!$N854=Table1[[#This Row],[ProgramTitle]],"Yes","No")</f>
        <v>#VALUE!</v>
      </c>
      <c r="BD854" s="9" t="e">
        <f>IF(EFB!$S854=Table1[[#This Row],[SeriesEpisodeTitle]],"Yes","No")</f>
        <v>#VALUE!</v>
      </c>
      <c r="BE854" s="11">
        <f t="shared" si="46"/>
        <v>0</v>
      </c>
      <c r="BF854" s="11">
        <f t="shared" si="47"/>
        <v>0</v>
      </c>
      <c r="BH854" s="36"/>
    </row>
    <row r="855" spans="3:60" x14ac:dyDescent="0.25">
      <c r="C855" s="35"/>
      <c r="G855" s="38"/>
      <c r="H855" s="38"/>
      <c r="I855" s="38"/>
      <c r="J855" s="38"/>
      <c r="K855" s="38"/>
      <c r="L855" s="39"/>
      <c r="M855" s="38"/>
      <c r="N855" s="38"/>
      <c r="O855" s="38"/>
      <c r="P855" s="38"/>
      <c r="Q855" s="38"/>
      <c r="R855" s="38"/>
      <c r="S855" s="38"/>
      <c r="BB855" s="9" t="str">
        <f t="shared" si="45"/>
        <v>Yes</v>
      </c>
      <c r="BC855" s="9" t="e">
        <f>IF(EFB!$N855=Table1[[#This Row],[ProgramTitle]],"Yes","No")</f>
        <v>#VALUE!</v>
      </c>
      <c r="BD855" s="9" t="e">
        <f>IF(EFB!$S855=Table1[[#This Row],[SeriesEpisodeTitle]],"Yes","No")</f>
        <v>#VALUE!</v>
      </c>
      <c r="BE855" s="11">
        <f t="shared" si="46"/>
        <v>0</v>
      </c>
      <c r="BF855" s="11">
        <f t="shared" si="47"/>
        <v>0</v>
      </c>
      <c r="BH855" s="36"/>
    </row>
    <row r="856" spans="3:60" x14ac:dyDescent="0.25">
      <c r="C856" s="35"/>
      <c r="L856" s="39"/>
      <c r="BB856" s="9" t="str">
        <f t="shared" si="45"/>
        <v>Yes</v>
      </c>
      <c r="BC856" s="9" t="e">
        <f>IF(EFB!$N856=Table1[[#This Row],[ProgramTitle]],"Yes","No")</f>
        <v>#VALUE!</v>
      </c>
      <c r="BD856" s="9" t="e">
        <f>IF(EFB!$S856=Table1[[#This Row],[SeriesEpisodeTitle]],"Yes","No")</f>
        <v>#VALUE!</v>
      </c>
      <c r="BE856" s="11">
        <f t="shared" si="46"/>
        <v>0</v>
      </c>
      <c r="BF856" s="11">
        <f t="shared" si="47"/>
        <v>0</v>
      </c>
      <c r="BH856" s="36"/>
    </row>
    <row r="857" spans="3:60" x14ac:dyDescent="0.25">
      <c r="C857" s="35"/>
      <c r="G857" s="38"/>
      <c r="H857" s="38"/>
      <c r="I857" s="38"/>
      <c r="J857" s="38"/>
      <c r="K857" s="38"/>
      <c r="L857" s="39"/>
      <c r="M857" s="38"/>
      <c r="N857" s="38"/>
      <c r="O857" s="38"/>
      <c r="P857" s="38"/>
      <c r="Q857" s="38"/>
      <c r="R857" s="38"/>
      <c r="S857" s="38"/>
      <c r="BB857" s="9" t="str">
        <f t="shared" si="45"/>
        <v>Yes</v>
      </c>
      <c r="BC857" s="9" t="e">
        <f>IF(EFB!$N857=Table1[[#This Row],[ProgramTitle]],"Yes","No")</f>
        <v>#VALUE!</v>
      </c>
      <c r="BD857" s="9" t="e">
        <f>IF(EFB!$S857=Table1[[#This Row],[SeriesEpisodeTitle]],"Yes","No")</f>
        <v>#VALUE!</v>
      </c>
      <c r="BE857" s="11">
        <f t="shared" si="46"/>
        <v>0</v>
      </c>
      <c r="BF857" s="11">
        <f t="shared" si="47"/>
        <v>0</v>
      </c>
      <c r="BH857" s="36"/>
    </row>
    <row r="858" spans="3:60" x14ac:dyDescent="0.25">
      <c r="C858" s="35"/>
      <c r="L858" s="39"/>
      <c r="BB858" s="9" t="str">
        <f t="shared" si="45"/>
        <v>Yes</v>
      </c>
      <c r="BC858" s="9" t="e">
        <f>IF(EFB!$N858=Table1[[#This Row],[ProgramTitle]],"Yes","No")</f>
        <v>#VALUE!</v>
      </c>
      <c r="BD858" s="9" t="e">
        <f>IF(EFB!$S858=Table1[[#This Row],[SeriesEpisodeTitle]],"Yes","No")</f>
        <v>#VALUE!</v>
      </c>
      <c r="BE858" s="11">
        <f t="shared" si="46"/>
        <v>0</v>
      </c>
      <c r="BF858" s="11">
        <f t="shared" si="47"/>
        <v>0</v>
      </c>
      <c r="BH858" s="36"/>
    </row>
    <row r="859" spans="3:60" x14ac:dyDescent="0.25">
      <c r="C859" s="35"/>
      <c r="G859" s="38"/>
      <c r="H859" s="38"/>
      <c r="I859" s="38"/>
      <c r="J859" s="38"/>
      <c r="K859" s="38"/>
      <c r="L859" s="39"/>
      <c r="M859" s="38"/>
      <c r="N859" s="38"/>
      <c r="O859" s="38"/>
      <c r="P859" s="38"/>
      <c r="Q859" s="38"/>
      <c r="R859" s="38"/>
      <c r="S859" s="38"/>
      <c r="BB859" s="9" t="str">
        <f t="shared" si="45"/>
        <v>Yes</v>
      </c>
      <c r="BC859" s="9" t="e">
        <f>IF(EFB!$N859=Table1[[#This Row],[ProgramTitle]],"Yes","No")</f>
        <v>#VALUE!</v>
      </c>
      <c r="BD859" s="9" t="e">
        <f>IF(EFB!$S859=Table1[[#This Row],[SeriesEpisodeTitle]],"Yes","No")</f>
        <v>#VALUE!</v>
      </c>
      <c r="BE859" s="11">
        <f t="shared" si="46"/>
        <v>0</v>
      </c>
      <c r="BF859" s="11">
        <f t="shared" si="47"/>
        <v>0</v>
      </c>
      <c r="BH859" s="36"/>
    </row>
    <row r="860" spans="3:60" x14ac:dyDescent="0.25">
      <c r="C860" s="35"/>
      <c r="L860" s="39"/>
      <c r="BB860" s="9" t="str">
        <f t="shared" si="45"/>
        <v>Yes</v>
      </c>
      <c r="BC860" s="9" t="e">
        <f>IF(EFB!$N860=Table1[[#This Row],[ProgramTitle]],"Yes","No")</f>
        <v>#VALUE!</v>
      </c>
      <c r="BD860" s="9" t="e">
        <f>IF(EFB!$S860=Table1[[#This Row],[SeriesEpisodeTitle]],"Yes","No")</f>
        <v>#VALUE!</v>
      </c>
      <c r="BE860" s="11">
        <f t="shared" si="46"/>
        <v>0</v>
      </c>
      <c r="BF860" s="11">
        <f t="shared" si="47"/>
        <v>0</v>
      </c>
      <c r="BH860" s="36"/>
    </row>
    <row r="861" spans="3:60" x14ac:dyDescent="0.25">
      <c r="C861" s="35"/>
      <c r="G861" s="38"/>
      <c r="H861" s="38"/>
      <c r="I861" s="38"/>
      <c r="J861" s="38"/>
      <c r="K861" s="38"/>
      <c r="L861" s="39"/>
      <c r="M861" s="38"/>
      <c r="N861" s="38"/>
      <c r="O861" s="38"/>
      <c r="P861" s="38"/>
      <c r="Q861" s="38"/>
      <c r="R861" s="38"/>
      <c r="S861" s="38"/>
      <c r="BB861" s="9" t="str">
        <f t="shared" si="45"/>
        <v>Yes</v>
      </c>
      <c r="BC861" s="9" t="e">
        <f>IF(EFB!$N861=Table1[[#This Row],[ProgramTitle]],"Yes","No")</f>
        <v>#VALUE!</v>
      </c>
      <c r="BD861" s="9" t="e">
        <f>IF(EFB!$S861=Table1[[#This Row],[SeriesEpisodeTitle]],"Yes","No")</f>
        <v>#VALUE!</v>
      </c>
      <c r="BE861" s="11">
        <f t="shared" si="46"/>
        <v>0</v>
      </c>
      <c r="BF861" s="11">
        <f t="shared" si="47"/>
        <v>0</v>
      </c>
      <c r="BH861" s="36"/>
    </row>
    <row r="862" spans="3:60" x14ac:dyDescent="0.25">
      <c r="C862" s="35"/>
      <c r="L862" s="39"/>
      <c r="BB862" s="9" t="str">
        <f t="shared" si="45"/>
        <v>Yes</v>
      </c>
      <c r="BC862" s="9" t="e">
        <f>IF(EFB!$N862=Table1[[#This Row],[ProgramTitle]],"Yes","No")</f>
        <v>#VALUE!</v>
      </c>
      <c r="BD862" s="9" t="e">
        <f>IF(EFB!$S862=Table1[[#This Row],[SeriesEpisodeTitle]],"Yes","No")</f>
        <v>#VALUE!</v>
      </c>
      <c r="BE862" s="11">
        <f t="shared" si="46"/>
        <v>0</v>
      </c>
      <c r="BF862" s="11">
        <f t="shared" si="47"/>
        <v>0</v>
      </c>
      <c r="BH862" s="36"/>
    </row>
    <row r="863" spans="3:60" x14ac:dyDescent="0.25">
      <c r="C863" s="35"/>
      <c r="G863" s="38"/>
      <c r="H863" s="38"/>
      <c r="I863" s="38"/>
      <c r="J863" s="38"/>
      <c r="K863" s="38"/>
      <c r="L863" s="39"/>
      <c r="M863" s="38"/>
      <c r="N863" s="38"/>
      <c r="O863" s="38"/>
      <c r="P863" s="38"/>
      <c r="Q863" s="38"/>
      <c r="R863" s="38"/>
      <c r="S863" s="38"/>
      <c r="BB863" s="9" t="str">
        <f t="shared" si="45"/>
        <v>Yes</v>
      </c>
      <c r="BC863" s="9" t="e">
        <f>IF(EFB!$N863=Table1[[#This Row],[ProgramTitle]],"Yes","No")</f>
        <v>#VALUE!</v>
      </c>
      <c r="BD863" s="9" t="e">
        <f>IF(EFB!$S863=Table1[[#This Row],[SeriesEpisodeTitle]],"Yes","No")</f>
        <v>#VALUE!</v>
      </c>
      <c r="BE863" s="11">
        <f t="shared" si="46"/>
        <v>0</v>
      </c>
      <c r="BF863" s="11">
        <f t="shared" si="47"/>
        <v>0</v>
      </c>
      <c r="BH863" s="36"/>
    </row>
    <row r="864" spans="3:60" x14ac:dyDescent="0.25">
      <c r="C864" s="35"/>
      <c r="L864" s="39"/>
      <c r="BB864" s="9" t="str">
        <f t="shared" si="45"/>
        <v>Yes</v>
      </c>
      <c r="BC864" s="9" t="e">
        <f>IF(EFB!$N864=Table1[[#This Row],[ProgramTitle]],"Yes","No")</f>
        <v>#VALUE!</v>
      </c>
      <c r="BD864" s="9" t="e">
        <f>IF(EFB!$S864=Table1[[#This Row],[SeriesEpisodeTitle]],"Yes","No")</f>
        <v>#VALUE!</v>
      </c>
      <c r="BE864" s="11">
        <f t="shared" si="46"/>
        <v>0</v>
      </c>
      <c r="BF864" s="11">
        <f t="shared" si="47"/>
        <v>0</v>
      </c>
      <c r="BH864" s="36"/>
    </row>
    <row r="865" spans="3:60" x14ac:dyDescent="0.25">
      <c r="C865" s="35"/>
      <c r="G865" s="38"/>
      <c r="H865" s="38"/>
      <c r="I865" s="38"/>
      <c r="J865" s="38"/>
      <c r="K865" s="38"/>
      <c r="L865" s="39"/>
      <c r="M865" s="38"/>
      <c r="N865" s="38"/>
      <c r="O865" s="38"/>
      <c r="P865" s="38"/>
      <c r="Q865" s="38"/>
      <c r="R865" s="38"/>
      <c r="S865" s="38"/>
      <c r="BB865" s="9" t="str">
        <f t="shared" si="45"/>
        <v>Yes</v>
      </c>
      <c r="BC865" s="9" t="e">
        <f>IF(EFB!$N865=Table1[[#This Row],[ProgramTitle]],"Yes","No")</f>
        <v>#VALUE!</v>
      </c>
      <c r="BD865" s="9" t="e">
        <f>IF(EFB!$S865=Table1[[#This Row],[SeriesEpisodeTitle]],"Yes","No")</f>
        <v>#VALUE!</v>
      </c>
      <c r="BE865" s="11">
        <f t="shared" si="46"/>
        <v>0</v>
      </c>
      <c r="BF865" s="11">
        <f t="shared" si="47"/>
        <v>0</v>
      </c>
      <c r="BH865" s="36"/>
    </row>
    <row r="866" spans="3:60" x14ac:dyDescent="0.25">
      <c r="C866" s="35"/>
      <c r="L866" s="39"/>
      <c r="BB866" s="9" t="str">
        <f t="shared" si="45"/>
        <v>Yes</v>
      </c>
      <c r="BC866" s="9" t="e">
        <f>IF(EFB!$N866=Table1[[#This Row],[ProgramTitle]],"Yes","No")</f>
        <v>#VALUE!</v>
      </c>
      <c r="BD866" s="9" t="e">
        <f>IF(EFB!$S866=Table1[[#This Row],[SeriesEpisodeTitle]],"Yes","No")</f>
        <v>#VALUE!</v>
      </c>
      <c r="BE866" s="11">
        <f t="shared" si="46"/>
        <v>0</v>
      </c>
      <c r="BF866" s="11">
        <f t="shared" si="47"/>
        <v>0</v>
      </c>
      <c r="BH866" s="36"/>
    </row>
    <row r="867" spans="3:60" x14ac:dyDescent="0.25">
      <c r="C867" s="35"/>
      <c r="G867" s="38"/>
      <c r="H867" s="38"/>
      <c r="I867" s="38"/>
      <c r="J867" s="38"/>
      <c r="K867" s="38"/>
      <c r="L867" s="39"/>
      <c r="M867" s="38"/>
      <c r="N867" s="38"/>
      <c r="O867" s="38"/>
      <c r="P867" s="38"/>
      <c r="Q867" s="38"/>
      <c r="R867" s="38"/>
      <c r="S867" s="38"/>
      <c r="BB867" s="9" t="str">
        <f t="shared" si="45"/>
        <v>Yes</v>
      </c>
      <c r="BC867" s="9" t="e">
        <f>IF(EFB!$N867=Table1[[#This Row],[ProgramTitle]],"Yes","No")</f>
        <v>#VALUE!</v>
      </c>
      <c r="BD867" s="9" t="e">
        <f>IF(EFB!$S867=Table1[[#This Row],[SeriesEpisodeTitle]],"Yes","No")</f>
        <v>#VALUE!</v>
      </c>
      <c r="BE867" s="11">
        <f t="shared" si="46"/>
        <v>0</v>
      </c>
      <c r="BF867" s="11">
        <f t="shared" si="47"/>
        <v>0</v>
      </c>
      <c r="BH867" s="36"/>
    </row>
    <row r="868" spans="3:60" x14ac:dyDescent="0.25">
      <c r="C868" s="35"/>
      <c r="L868" s="39"/>
      <c r="BB868" s="9" t="str">
        <f t="shared" si="45"/>
        <v>Yes</v>
      </c>
      <c r="BC868" s="9" t="e">
        <f>IF(EFB!$N868=Table1[[#This Row],[ProgramTitle]],"Yes","No")</f>
        <v>#VALUE!</v>
      </c>
      <c r="BD868" s="9" t="e">
        <f>IF(EFB!$S868=Table1[[#This Row],[SeriesEpisodeTitle]],"Yes","No")</f>
        <v>#VALUE!</v>
      </c>
      <c r="BE868" s="11">
        <f t="shared" si="46"/>
        <v>0</v>
      </c>
      <c r="BF868" s="11">
        <f t="shared" si="47"/>
        <v>0</v>
      </c>
      <c r="BH868" s="36"/>
    </row>
    <row r="869" spans="3:60" x14ac:dyDescent="0.25">
      <c r="C869" s="35"/>
      <c r="G869" s="38"/>
      <c r="H869" s="38"/>
      <c r="I869" s="38"/>
      <c r="J869" s="38"/>
      <c r="K869" s="38"/>
      <c r="L869" s="39"/>
      <c r="M869" s="38"/>
      <c r="N869" s="38"/>
      <c r="O869" s="38"/>
      <c r="P869" s="38"/>
      <c r="Q869" s="38"/>
      <c r="R869" s="38"/>
      <c r="S869" s="38"/>
      <c r="BB869" s="9" t="str">
        <f t="shared" si="45"/>
        <v>Yes</v>
      </c>
      <c r="BC869" s="9" t="e">
        <f>IF(EFB!$N869=Table1[[#This Row],[ProgramTitle]],"Yes","No")</f>
        <v>#VALUE!</v>
      </c>
      <c r="BD869" s="9" t="e">
        <f>IF(EFB!$S869=Table1[[#This Row],[SeriesEpisodeTitle]],"Yes","No")</f>
        <v>#VALUE!</v>
      </c>
      <c r="BE869" s="11">
        <f t="shared" si="46"/>
        <v>0</v>
      </c>
      <c r="BF869" s="11">
        <f t="shared" si="47"/>
        <v>0</v>
      </c>
      <c r="BH869" s="36"/>
    </row>
    <row r="870" spans="3:60" x14ac:dyDescent="0.25">
      <c r="C870" s="35"/>
      <c r="L870" s="39"/>
      <c r="BB870" s="9" t="str">
        <f t="shared" si="45"/>
        <v>Yes</v>
      </c>
      <c r="BC870" s="9" t="e">
        <f>IF(EFB!$N870=Table1[[#This Row],[ProgramTitle]],"Yes","No")</f>
        <v>#VALUE!</v>
      </c>
      <c r="BD870" s="9" t="e">
        <f>IF(EFB!$S870=Table1[[#This Row],[SeriesEpisodeTitle]],"Yes","No")</f>
        <v>#VALUE!</v>
      </c>
      <c r="BE870" s="11">
        <f t="shared" si="46"/>
        <v>0</v>
      </c>
      <c r="BF870" s="11">
        <f t="shared" si="47"/>
        <v>0</v>
      </c>
      <c r="BH870" s="36"/>
    </row>
    <row r="871" spans="3:60" x14ac:dyDescent="0.25">
      <c r="C871" s="35"/>
      <c r="G871" s="38"/>
      <c r="H871" s="38"/>
      <c r="I871" s="38"/>
      <c r="J871" s="38"/>
      <c r="K871" s="38"/>
      <c r="L871" s="39"/>
      <c r="M871" s="38"/>
      <c r="N871" s="38"/>
      <c r="O871" s="38"/>
      <c r="P871" s="38"/>
      <c r="Q871" s="38"/>
      <c r="R871" s="38"/>
      <c r="S871" s="38"/>
      <c r="BB871" s="9" t="str">
        <f t="shared" si="45"/>
        <v>Yes</v>
      </c>
      <c r="BC871" s="9" t="e">
        <f>IF(EFB!$N871=Table1[[#This Row],[ProgramTitle]],"Yes","No")</f>
        <v>#VALUE!</v>
      </c>
      <c r="BD871" s="9" t="e">
        <f>IF(EFB!$S871=Table1[[#This Row],[SeriesEpisodeTitle]],"Yes","No")</f>
        <v>#VALUE!</v>
      </c>
      <c r="BE871" s="11">
        <f t="shared" si="46"/>
        <v>0</v>
      </c>
      <c r="BF871" s="11">
        <f t="shared" si="47"/>
        <v>0</v>
      </c>
      <c r="BH871" s="36"/>
    </row>
    <row r="872" spans="3:60" x14ac:dyDescent="0.25">
      <c r="C872" s="35"/>
      <c r="L872" s="39"/>
      <c r="BB872" s="9" t="str">
        <f t="shared" si="45"/>
        <v>Yes</v>
      </c>
      <c r="BC872" s="9" t="e">
        <f>IF(EFB!$N872=Table1[[#This Row],[ProgramTitle]],"Yes","No")</f>
        <v>#VALUE!</v>
      </c>
      <c r="BD872" s="9" t="e">
        <f>IF(EFB!$S872=Table1[[#This Row],[SeriesEpisodeTitle]],"Yes","No")</f>
        <v>#VALUE!</v>
      </c>
      <c r="BE872" s="11">
        <f t="shared" si="46"/>
        <v>0</v>
      </c>
      <c r="BF872" s="11">
        <f t="shared" si="47"/>
        <v>0</v>
      </c>
      <c r="BH872" s="36"/>
    </row>
    <row r="873" spans="3:60" x14ac:dyDescent="0.25">
      <c r="C873" s="35"/>
      <c r="G873" s="38"/>
      <c r="H873" s="38"/>
      <c r="I873" s="38"/>
      <c r="J873" s="38"/>
      <c r="K873" s="38"/>
      <c r="L873" s="39"/>
      <c r="M873" s="38"/>
      <c r="N873" s="38"/>
      <c r="O873" s="38"/>
      <c r="P873" s="38"/>
      <c r="Q873" s="38"/>
      <c r="R873" s="38"/>
      <c r="S873" s="38"/>
      <c r="BB873" s="9" t="str">
        <f t="shared" si="45"/>
        <v>Yes</v>
      </c>
      <c r="BC873" s="9" t="e">
        <f>IF(EFB!$N873=Table1[[#This Row],[ProgramTitle]],"Yes","No")</f>
        <v>#VALUE!</v>
      </c>
      <c r="BD873" s="9" t="e">
        <f>IF(EFB!$S873=Table1[[#This Row],[SeriesEpisodeTitle]],"Yes","No")</f>
        <v>#VALUE!</v>
      </c>
      <c r="BE873" s="11">
        <f t="shared" si="46"/>
        <v>0</v>
      </c>
      <c r="BF873" s="11">
        <f t="shared" si="47"/>
        <v>0</v>
      </c>
      <c r="BH873" s="36"/>
    </row>
    <row r="874" spans="3:60" x14ac:dyDescent="0.25">
      <c r="C874" s="35"/>
      <c r="L874" s="39"/>
      <c r="BB874" s="9" t="str">
        <f t="shared" si="45"/>
        <v>Yes</v>
      </c>
      <c r="BC874" s="9" t="e">
        <f>IF(EFB!$N874=Table1[[#This Row],[ProgramTitle]],"Yes","No")</f>
        <v>#VALUE!</v>
      </c>
      <c r="BD874" s="9" t="e">
        <f>IF(EFB!$S874=Table1[[#This Row],[SeriesEpisodeTitle]],"Yes","No")</f>
        <v>#VALUE!</v>
      </c>
      <c r="BE874" s="11">
        <f t="shared" si="46"/>
        <v>0</v>
      </c>
      <c r="BF874" s="11">
        <f t="shared" si="47"/>
        <v>0</v>
      </c>
      <c r="BH874" s="36"/>
    </row>
    <row r="875" spans="3:60" x14ac:dyDescent="0.25">
      <c r="C875" s="35"/>
      <c r="G875" s="38"/>
      <c r="H875" s="38"/>
      <c r="I875" s="38"/>
      <c r="J875" s="38"/>
      <c r="K875" s="38"/>
      <c r="L875" s="39"/>
      <c r="M875" s="38"/>
      <c r="N875" s="38"/>
      <c r="O875" s="38"/>
      <c r="P875" s="38"/>
      <c r="Q875" s="38"/>
      <c r="R875" s="38"/>
      <c r="S875" s="38"/>
      <c r="BB875" s="9" t="str">
        <f t="shared" si="45"/>
        <v>Yes</v>
      </c>
      <c r="BC875" s="9" t="e">
        <f>IF(EFB!$N875=Table1[[#This Row],[ProgramTitle]],"Yes","No")</f>
        <v>#VALUE!</v>
      </c>
      <c r="BD875" s="9" t="e">
        <f>IF(EFB!$S875=Table1[[#This Row],[SeriesEpisodeTitle]],"Yes","No")</f>
        <v>#VALUE!</v>
      </c>
      <c r="BE875" s="11">
        <f t="shared" si="46"/>
        <v>0</v>
      </c>
      <c r="BF875" s="11">
        <f t="shared" si="47"/>
        <v>0</v>
      </c>
      <c r="BH875" s="36"/>
    </row>
    <row r="876" spans="3:60" x14ac:dyDescent="0.25">
      <c r="C876" s="35"/>
      <c r="L876" s="39"/>
      <c r="BB876" s="9" t="str">
        <f t="shared" si="45"/>
        <v>Yes</v>
      </c>
      <c r="BC876" s="9" t="e">
        <f>IF(EFB!$N876=Table1[[#This Row],[ProgramTitle]],"Yes","No")</f>
        <v>#VALUE!</v>
      </c>
      <c r="BD876" s="9" t="e">
        <f>IF(EFB!$S876=Table1[[#This Row],[SeriesEpisodeTitle]],"Yes","No")</f>
        <v>#VALUE!</v>
      </c>
      <c r="BE876" s="11">
        <f t="shared" si="46"/>
        <v>0</v>
      </c>
      <c r="BF876" s="11">
        <f t="shared" si="47"/>
        <v>0</v>
      </c>
      <c r="BH876" s="36"/>
    </row>
    <row r="877" spans="3:60" x14ac:dyDescent="0.25">
      <c r="C877" s="35"/>
      <c r="G877" s="38"/>
      <c r="H877" s="38"/>
      <c r="I877" s="38"/>
      <c r="J877" s="38"/>
      <c r="K877" s="38"/>
      <c r="L877" s="39"/>
      <c r="M877" s="38"/>
      <c r="N877" s="38"/>
      <c r="O877" s="38"/>
      <c r="P877" s="38"/>
      <c r="Q877" s="38"/>
      <c r="R877" s="38"/>
      <c r="S877" s="38"/>
      <c r="BB877" s="9" t="str">
        <f t="shared" si="45"/>
        <v>Yes</v>
      </c>
      <c r="BC877" s="9" t="e">
        <f>IF(EFB!$N877=Table1[[#This Row],[ProgramTitle]],"Yes","No")</f>
        <v>#VALUE!</v>
      </c>
      <c r="BD877" s="9" t="e">
        <f>IF(EFB!$S877=Table1[[#This Row],[SeriesEpisodeTitle]],"Yes","No")</f>
        <v>#VALUE!</v>
      </c>
      <c r="BE877" s="11">
        <f t="shared" si="46"/>
        <v>0</v>
      </c>
      <c r="BF877" s="11">
        <f t="shared" si="47"/>
        <v>0</v>
      </c>
      <c r="BH877" s="36"/>
    </row>
    <row r="878" spans="3:60" x14ac:dyDescent="0.25">
      <c r="C878" s="35"/>
      <c r="L878" s="39"/>
      <c r="BB878" s="9" t="str">
        <f t="shared" si="45"/>
        <v>Yes</v>
      </c>
      <c r="BC878" s="9" t="e">
        <f>IF(EFB!$N878=Table1[[#This Row],[ProgramTitle]],"Yes","No")</f>
        <v>#VALUE!</v>
      </c>
      <c r="BD878" s="9" t="e">
        <f>IF(EFB!$S878=Table1[[#This Row],[SeriesEpisodeTitle]],"Yes","No")</f>
        <v>#VALUE!</v>
      </c>
      <c r="BE878" s="11">
        <f t="shared" si="46"/>
        <v>0</v>
      </c>
      <c r="BF878" s="11">
        <f t="shared" si="47"/>
        <v>0</v>
      </c>
      <c r="BH878" s="36"/>
    </row>
    <row r="879" spans="3:60" x14ac:dyDescent="0.25">
      <c r="C879" s="35"/>
      <c r="G879" s="38"/>
      <c r="H879" s="38"/>
      <c r="I879" s="38"/>
      <c r="J879" s="38"/>
      <c r="K879" s="38"/>
      <c r="L879" s="39"/>
      <c r="M879" s="38"/>
      <c r="N879" s="38"/>
      <c r="O879" s="38"/>
      <c r="P879" s="38"/>
      <c r="Q879" s="38"/>
      <c r="R879" s="38"/>
      <c r="S879" s="38"/>
      <c r="BB879" s="9" t="str">
        <f t="shared" ref="BB879:BB942" si="48">IF(BE879=BF879,"Yes","No")</f>
        <v>Yes</v>
      </c>
      <c r="BC879" s="9" t="e">
        <f>IF(EFB!$N879=Table1[[#This Row],[ProgramTitle]],"Yes","No")</f>
        <v>#VALUE!</v>
      </c>
      <c r="BD879" s="9" t="e">
        <f>IF(EFB!$S879=Table1[[#This Row],[SeriesEpisodeTitle]],"Yes","No")</f>
        <v>#VALUE!</v>
      </c>
      <c r="BE879" s="11">
        <f t="shared" si="46"/>
        <v>0</v>
      </c>
      <c r="BF879" s="11">
        <f t="shared" si="47"/>
        <v>0</v>
      </c>
      <c r="BH879" s="36"/>
    </row>
    <row r="880" spans="3:60" x14ac:dyDescent="0.25">
      <c r="C880" s="35"/>
      <c r="L880" s="39"/>
      <c r="BB880" s="9" t="str">
        <f t="shared" si="48"/>
        <v>Yes</v>
      </c>
      <c r="BC880" s="9" t="e">
        <f>IF(EFB!$N880=Table1[[#This Row],[ProgramTitle]],"Yes","No")</f>
        <v>#VALUE!</v>
      </c>
      <c r="BD880" s="9" t="e">
        <f>IF(EFB!$S880=Table1[[#This Row],[SeriesEpisodeTitle]],"Yes","No")</f>
        <v>#VALUE!</v>
      </c>
      <c r="BE880" s="11">
        <f t="shared" si="46"/>
        <v>0</v>
      </c>
      <c r="BF880" s="11">
        <f t="shared" si="47"/>
        <v>0</v>
      </c>
      <c r="BH880" s="36"/>
    </row>
    <row r="881" spans="3:60" x14ac:dyDescent="0.25">
      <c r="C881" s="35"/>
      <c r="G881" s="38"/>
      <c r="H881" s="38"/>
      <c r="I881" s="38"/>
      <c r="J881" s="38"/>
      <c r="K881" s="38"/>
      <c r="L881" s="39"/>
      <c r="M881" s="38"/>
      <c r="N881" s="38"/>
      <c r="O881" s="38"/>
      <c r="P881" s="38"/>
      <c r="Q881" s="38"/>
      <c r="R881" s="38"/>
      <c r="S881" s="38"/>
      <c r="BB881" s="9" t="str">
        <f t="shared" si="48"/>
        <v>Yes</v>
      </c>
      <c r="BC881" s="9" t="e">
        <f>IF(EFB!$N881=Table1[[#This Row],[ProgramTitle]],"Yes","No")</f>
        <v>#VALUE!</v>
      </c>
      <c r="BD881" s="9" t="e">
        <f>IF(EFB!$S881=Table1[[#This Row],[SeriesEpisodeTitle]],"Yes","No")</f>
        <v>#VALUE!</v>
      </c>
      <c r="BE881" s="11">
        <f t="shared" si="46"/>
        <v>0</v>
      </c>
      <c r="BF881" s="11">
        <f t="shared" si="47"/>
        <v>0</v>
      </c>
      <c r="BH881" s="36"/>
    </row>
    <row r="882" spans="3:60" x14ac:dyDescent="0.25">
      <c r="C882" s="35"/>
      <c r="L882" s="39"/>
      <c r="BB882" s="9" t="str">
        <f t="shared" si="48"/>
        <v>Yes</v>
      </c>
      <c r="BC882" s="9" t="e">
        <f>IF(EFB!$N882=Table1[[#This Row],[ProgramTitle]],"Yes","No")</f>
        <v>#VALUE!</v>
      </c>
      <c r="BD882" s="9" t="e">
        <f>IF(EFB!$S882=Table1[[#This Row],[SeriesEpisodeTitle]],"Yes","No")</f>
        <v>#VALUE!</v>
      </c>
      <c r="BE882" s="11">
        <f t="shared" si="46"/>
        <v>0</v>
      </c>
      <c r="BF882" s="11">
        <f t="shared" si="47"/>
        <v>0</v>
      </c>
      <c r="BH882" s="36"/>
    </row>
    <row r="883" spans="3:60" x14ac:dyDescent="0.25">
      <c r="C883" s="35"/>
      <c r="G883" s="38"/>
      <c r="H883" s="38"/>
      <c r="I883" s="38"/>
      <c r="J883" s="38"/>
      <c r="K883" s="38"/>
      <c r="L883" s="39"/>
      <c r="M883" s="38"/>
      <c r="N883" s="38"/>
      <c r="O883" s="38"/>
      <c r="P883" s="38"/>
      <c r="Q883" s="38"/>
      <c r="R883" s="38"/>
      <c r="S883" s="38"/>
      <c r="BB883" s="9" t="str">
        <f t="shared" si="48"/>
        <v>Yes</v>
      </c>
      <c r="BC883" s="9" t="e">
        <f>IF(EFB!$N883=Table1[[#This Row],[ProgramTitle]],"Yes","No")</f>
        <v>#VALUE!</v>
      </c>
      <c r="BD883" s="9" t="e">
        <f>IF(EFB!$S883=Table1[[#This Row],[SeriesEpisodeTitle]],"Yes","No")</f>
        <v>#VALUE!</v>
      </c>
      <c r="BE883" s="11">
        <f t="shared" si="46"/>
        <v>0</v>
      </c>
      <c r="BF883" s="11">
        <f t="shared" si="47"/>
        <v>0</v>
      </c>
      <c r="BH883" s="36"/>
    </row>
    <row r="884" spans="3:60" x14ac:dyDescent="0.25">
      <c r="C884" s="35"/>
      <c r="L884" s="39"/>
      <c r="BB884" s="9" t="str">
        <f t="shared" si="48"/>
        <v>Yes</v>
      </c>
      <c r="BC884" s="9" t="e">
        <f>IF(EFB!$N884=Table1[[#This Row],[ProgramTitle]],"Yes","No")</f>
        <v>#VALUE!</v>
      </c>
      <c r="BD884" s="9" t="e">
        <f>IF(EFB!$S884=Table1[[#This Row],[SeriesEpisodeTitle]],"Yes","No")</f>
        <v>#VALUE!</v>
      </c>
      <c r="BE884" s="11">
        <f t="shared" si="46"/>
        <v>0</v>
      </c>
      <c r="BF884" s="11">
        <f t="shared" si="47"/>
        <v>0</v>
      </c>
      <c r="BH884" s="36"/>
    </row>
    <row r="885" spans="3:60" x14ac:dyDescent="0.25">
      <c r="C885" s="35"/>
      <c r="G885" s="38"/>
      <c r="H885" s="38"/>
      <c r="I885" s="38"/>
      <c r="J885" s="38"/>
      <c r="K885" s="38"/>
      <c r="L885" s="39"/>
      <c r="M885" s="38"/>
      <c r="N885" s="38"/>
      <c r="O885" s="38"/>
      <c r="P885" s="38"/>
      <c r="Q885" s="38"/>
      <c r="R885" s="38"/>
      <c r="S885" s="38"/>
      <c r="BB885" s="9" t="str">
        <f t="shared" si="48"/>
        <v>Yes</v>
      </c>
      <c r="BC885" s="9" t="e">
        <f>IF(EFB!$N885=Table1[[#This Row],[ProgramTitle]],"Yes","No")</f>
        <v>#VALUE!</v>
      </c>
      <c r="BD885" s="9" t="e">
        <f>IF(EFB!$S885=Table1[[#This Row],[SeriesEpisodeTitle]],"Yes","No")</f>
        <v>#VALUE!</v>
      </c>
      <c r="BE885" s="11">
        <f t="shared" si="46"/>
        <v>0</v>
      </c>
      <c r="BF885" s="11">
        <f t="shared" si="47"/>
        <v>0</v>
      </c>
      <c r="BH885" s="36"/>
    </row>
    <row r="886" spans="3:60" x14ac:dyDescent="0.25">
      <c r="C886" s="35"/>
      <c r="L886" s="39"/>
      <c r="BB886" s="9" t="str">
        <f t="shared" si="48"/>
        <v>Yes</v>
      </c>
      <c r="BC886" s="9" t="e">
        <f>IF(EFB!$N886=Table1[[#This Row],[ProgramTitle]],"Yes","No")</f>
        <v>#VALUE!</v>
      </c>
      <c r="BD886" s="9" t="e">
        <f>IF(EFB!$S886=Table1[[#This Row],[SeriesEpisodeTitle]],"Yes","No")</f>
        <v>#VALUE!</v>
      </c>
      <c r="BE886" s="11">
        <f t="shared" si="46"/>
        <v>0</v>
      </c>
      <c r="BF886" s="11">
        <f t="shared" si="47"/>
        <v>0</v>
      </c>
      <c r="BH886" s="36"/>
    </row>
    <row r="887" spans="3:60" x14ac:dyDescent="0.25">
      <c r="C887" s="35"/>
      <c r="G887" s="38"/>
      <c r="H887" s="38"/>
      <c r="I887" s="38"/>
      <c r="J887" s="38"/>
      <c r="K887" s="38"/>
      <c r="L887" s="39"/>
      <c r="M887" s="38"/>
      <c r="N887" s="38"/>
      <c r="O887" s="38"/>
      <c r="P887" s="38"/>
      <c r="Q887" s="38"/>
      <c r="R887" s="38"/>
      <c r="S887" s="38"/>
      <c r="BB887" s="9" t="str">
        <f t="shared" si="48"/>
        <v>Yes</v>
      </c>
      <c r="BC887" s="9" t="e">
        <f>IF(EFB!$N887=Table1[[#This Row],[ProgramTitle]],"Yes","No")</f>
        <v>#VALUE!</v>
      </c>
      <c r="BD887" s="9" t="e">
        <f>IF(EFB!$S887=Table1[[#This Row],[SeriesEpisodeTitle]],"Yes","No")</f>
        <v>#VALUE!</v>
      </c>
      <c r="BE887" s="11">
        <f t="shared" si="46"/>
        <v>0</v>
      </c>
      <c r="BF887" s="11">
        <f t="shared" si="47"/>
        <v>0</v>
      </c>
      <c r="BH887" s="36"/>
    </row>
    <row r="888" spans="3:60" x14ac:dyDescent="0.25">
      <c r="C888" s="35"/>
      <c r="L888" s="39"/>
      <c r="BB888" s="9" t="str">
        <f t="shared" si="48"/>
        <v>Yes</v>
      </c>
      <c r="BC888" s="9" t="e">
        <f>IF(EFB!$N888=Table1[[#This Row],[ProgramTitle]],"Yes","No")</f>
        <v>#VALUE!</v>
      </c>
      <c r="BD888" s="9" t="e">
        <f>IF(EFB!$S888=Table1[[#This Row],[SeriesEpisodeTitle]],"Yes","No")</f>
        <v>#VALUE!</v>
      </c>
      <c r="BE888" s="11">
        <f t="shared" si="46"/>
        <v>0</v>
      </c>
      <c r="BF888" s="11">
        <f t="shared" si="47"/>
        <v>0</v>
      </c>
      <c r="BH888" s="36"/>
    </row>
    <row r="889" spans="3:60" x14ac:dyDescent="0.25">
      <c r="C889" s="35"/>
      <c r="G889" s="38"/>
      <c r="H889" s="38"/>
      <c r="I889" s="38"/>
      <c r="J889" s="38"/>
      <c r="K889" s="38"/>
      <c r="L889" s="39"/>
      <c r="M889" s="38"/>
      <c r="N889" s="38"/>
      <c r="O889" s="38"/>
      <c r="P889" s="38"/>
      <c r="Q889" s="38"/>
      <c r="R889" s="38"/>
      <c r="S889" s="38"/>
      <c r="BB889" s="9" t="str">
        <f t="shared" si="48"/>
        <v>Yes</v>
      </c>
      <c r="BC889" s="9" t="e">
        <f>IF(EFB!$N889=Table1[[#This Row],[ProgramTitle]],"Yes","No")</f>
        <v>#VALUE!</v>
      </c>
      <c r="BD889" s="9" t="e">
        <f>IF(EFB!$S889=Table1[[#This Row],[SeriesEpisodeTitle]],"Yes","No")</f>
        <v>#VALUE!</v>
      </c>
      <c r="BE889" s="11">
        <f t="shared" si="46"/>
        <v>0</v>
      </c>
      <c r="BF889" s="11">
        <f t="shared" si="47"/>
        <v>0</v>
      </c>
      <c r="BH889" s="36"/>
    </row>
    <row r="890" spans="3:60" x14ac:dyDescent="0.25">
      <c r="C890" s="35"/>
      <c r="L890" s="39"/>
      <c r="BB890" s="9" t="str">
        <f t="shared" si="48"/>
        <v>Yes</v>
      </c>
      <c r="BC890" s="9" t="e">
        <f>IF(EFB!$N890=Table1[[#This Row],[ProgramTitle]],"Yes","No")</f>
        <v>#VALUE!</v>
      </c>
      <c r="BD890" s="9" t="e">
        <f>IF(EFB!$S890=Table1[[#This Row],[SeriesEpisodeTitle]],"Yes","No")</f>
        <v>#VALUE!</v>
      </c>
      <c r="BE890" s="11">
        <f t="shared" si="46"/>
        <v>0</v>
      </c>
      <c r="BF890" s="11">
        <f t="shared" si="47"/>
        <v>0</v>
      </c>
      <c r="BH890" s="36"/>
    </row>
    <row r="891" spans="3:60" x14ac:dyDescent="0.25">
      <c r="C891" s="35"/>
      <c r="G891" s="38"/>
      <c r="H891" s="38"/>
      <c r="I891" s="38"/>
      <c r="J891" s="38"/>
      <c r="K891" s="38"/>
      <c r="L891" s="39"/>
      <c r="M891" s="38"/>
      <c r="N891" s="38"/>
      <c r="O891" s="38"/>
      <c r="P891" s="38"/>
      <c r="Q891" s="38"/>
      <c r="R891" s="38"/>
      <c r="S891" s="38"/>
      <c r="BB891" s="9" t="str">
        <f t="shared" si="48"/>
        <v>Yes</v>
      </c>
      <c r="BC891" s="9" t="e">
        <f>IF(EFB!$N891=Table1[[#This Row],[ProgramTitle]],"Yes","No")</f>
        <v>#VALUE!</v>
      </c>
      <c r="BD891" s="9" t="e">
        <f>IF(EFB!$S891=Table1[[#This Row],[SeriesEpisodeTitle]],"Yes","No")</f>
        <v>#VALUE!</v>
      </c>
      <c r="BE891" s="11">
        <f t="shared" si="46"/>
        <v>0</v>
      </c>
      <c r="BF891" s="11">
        <f t="shared" si="47"/>
        <v>0</v>
      </c>
      <c r="BH891" s="36"/>
    </row>
    <row r="892" spans="3:60" x14ac:dyDescent="0.25">
      <c r="C892" s="35"/>
      <c r="L892" s="39"/>
      <c r="BB892" s="9" t="str">
        <f t="shared" si="48"/>
        <v>Yes</v>
      </c>
      <c r="BC892" s="9" t="e">
        <f>IF(EFB!$N892=Table1[[#This Row],[ProgramTitle]],"Yes","No")</f>
        <v>#VALUE!</v>
      </c>
      <c r="BD892" s="9" t="e">
        <f>IF(EFB!$S892=Table1[[#This Row],[SeriesEpisodeTitle]],"Yes","No")</f>
        <v>#VALUE!</v>
      </c>
      <c r="BE892" s="11">
        <f t="shared" si="46"/>
        <v>0</v>
      </c>
      <c r="BF892" s="11">
        <f t="shared" si="47"/>
        <v>0</v>
      </c>
      <c r="BH892" s="36"/>
    </row>
    <row r="893" spans="3:60" x14ac:dyDescent="0.25">
      <c r="C893" s="35"/>
      <c r="G893" s="38"/>
      <c r="H893" s="38"/>
      <c r="I893" s="38"/>
      <c r="J893" s="38"/>
      <c r="K893" s="38"/>
      <c r="L893" s="39"/>
      <c r="M893" s="38"/>
      <c r="N893" s="38"/>
      <c r="O893" s="38"/>
      <c r="P893" s="38"/>
      <c r="Q893" s="38"/>
      <c r="R893" s="38"/>
      <c r="S893" s="38"/>
      <c r="BB893" s="9" t="str">
        <f t="shared" si="48"/>
        <v>Yes</v>
      </c>
      <c r="BC893" s="9" t="e">
        <f>IF(EFB!$N893=Table1[[#This Row],[ProgramTitle]],"Yes","No")</f>
        <v>#VALUE!</v>
      </c>
      <c r="BD893" s="9" t="e">
        <f>IF(EFB!$S893=Table1[[#This Row],[SeriesEpisodeTitle]],"Yes","No")</f>
        <v>#VALUE!</v>
      </c>
      <c r="BE893" s="11">
        <f t="shared" si="46"/>
        <v>0</v>
      </c>
      <c r="BF893" s="11">
        <f t="shared" si="47"/>
        <v>0</v>
      </c>
      <c r="BH893" s="36"/>
    </row>
    <row r="894" spans="3:60" x14ac:dyDescent="0.25">
      <c r="C894" s="35"/>
      <c r="L894" s="39"/>
      <c r="BB894" s="9" t="str">
        <f t="shared" si="48"/>
        <v>Yes</v>
      </c>
      <c r="BC894" s="9" t="e">
        <f>IF(EFB!$N894=Table1[[#This Row],[ProgramTitle]],"Yes","No")</f>
        <v>#VALUE!</v>
      </c>
      <c r="BD894" s="9" t="e">
        <f>IF(EFB!$S894=Table1[[#This Row],[SeriesEpisodeTitle]],"Yes","No")</f>
        <v>#VALUE!</v>
      </c>
      <c r="BE894" s="11">
        <f t="shared" si="46"/>
        <v>0</v>
      </c>
      <c r="BF894" s="11">
        <f t="shared" si="47"/>
        <v>0</v>
      </c>
      <c r="BH894" s="36"/>
    </row>
    <row r="895" spans="3:60" x14ac:dyDescent="0.25">
      <c r="C895" s="35"/>
      <c r="G895" s="38"/>
      <c r="H895" s="38"/>
      <c r="I895" s="38"/>
      <c r="J895" s="38"/>
      <c r="K895" s="38"/>
      <c r="L895" s="39"/>
      <c r="M895" s="38"/>
      <c r="N895" s="38"/>
      <c r="O895" s="38"/>
      <c r="P895" s="38"/>
      <c r="Q895" s="38"/>
      <c r="R895" s="38"/>
      <c r="S895" s="38"/>
      <c r="BB895" s="9" t="str">
        <f t="shared" si="48"/>
        <v>Yes</v>
      </c>
      <c r="BC895" s="9" t="e">
        <f>IF(EFB!$N895=Table1[[#This Row],[ProgramTitle]],"Yes","No")</f>
        <v>#VALUE!</v>
      </c>
      <c r="BD895" s="9" t="e">
        <f>IF(EFB!$S895=Table1[[#This Row],[SeriesEpisodeTitle]],"Yes","No")</f>
        <v>#VALUE!</v>
      </c>
      <c r="BE895" s="11">
        <f t="shared" si="46"/>
        <v>0</v>
      </c>
      <c r="BF895" s="11">
        <f t="shared" si="47"/>
        <v>0</v>
      </c>
      <c r="BH895" s="36"/>
    </row>
    <row r="896" spans="3:60" x14ac:dyDescent="0.25">
      <c r="C896" s="35"/>
      <c r="L896" s="39"/>
      <c r="BB896" s="9" t="str">
        <f t="shared" si="48"/>
        <v>Yes</v>
      </c>
      <c r="BC896" s="9" t="e">
        <f>IF(EFB!$N896=Table1[[#This Row],[ProgramTitle]],"Yes","No")</f>
        <v>#VALUE!</v>
      </c>
      <c r="BD896" s="9" t="e">
        <f>IF(EFB!$S896=Table1[[#This Row],[SeriesEpisodeTitle]],"Yes","No")</f>
        <v>#VALUE!</v>
      </c>
      <c r="BE896" s="11">
        <f t="shared" si="46"/>
        <v>0</v>
      </c>
      <c r="BF896" s="11">
        <f t="shared" si="47"/>
        <v>0</v>
      </c>
      <c r="BH896" s="36"/>
    </row>
    <row r="897" spans="3:60" x14ac:dyDescent="0.25">
      <c r="C897" s="35"/>
      <c r="G897" s="38"/>
      <c r="H897" s="38"/>
      <c r="I897" s="38"/>
      <c r="J897" s="38"/>
      <c r="K897" s="38"/>
      <c r="L897" s="39"/>
      <c r="M897" s="38"/>
      <c r="N897" s="38"/>
      <c r="O897" s="38"/>
      <c r="P897" s="38"/>
      <c r="Q897" s="38"/>
      <c r="R897" s="38"/>
      <c r="S897" s="38"/>
      <c r="BB897" s="9" t="str">
        <f t="shared" si="48"/>
        <v>Yes</v>
      </c>
      <c r="BC897" s="9" t="e">
        <f>IF(EFB!$N897=Table1[[#This Row],[ProgramTitle]],"Yes","No")</f>
        <v>#VALUE!</v>
      </c>
      <c r="BD897" s="9" t="e">
        <f>IF(EFB!$S897=Table1[[#This Row],[SeriesEpisodeTitle]],"Yes","No")</f>
        <v>#VALUE!</v>
      </c>
      <c r="BE897" s="11">
        <f t="shared" si="46"/>
        <v>0</v>
      </c>
      <c r="BF897" s="11">
        <f t="shared" si="47"/>
        <v>0</v>
      </c>
      <c r="BH897" s="36"/>
    </row>
    <row r="898" spans="3:60" x14ac:dyDescent="0.25">
      <c r="C898" s="35"/>
      <c r="L898" s="39"/>
      <c r="BB898" s="9" t="str">
        <f t="shared" si="48"/>
        <v>Yes</v>
      </c>
      <c r="BC898" s="9" t="e">
        <f>IF(EFB!$N898=Table1[[#This Row],[ProgramTitle]],"Yes","No")</f>
        <v>#VALUE!</v>
      </c>
      <c r="BD898" s="9" t="e">
        <f>IF(EFB!$S898=Table1[[#This Row],[SeriesEpisodeTitle]],"Yes","No")</f>
        <v>#VALUE!</v>
      </c>
      <c r="BE898" s="11">
        <f t="shared" si="46"/>
        <v>0</v>
      </c>
      <c r="BF898" s="11">
        <f t="shared" si="47"/>
        <v>0</v>
      </c>
      <c r="BH898" s="36"/>
    </row>
    <row r="899" spans="3:60" x14ac:dyDescent="0.25">
      <c r="C899" s="35"/>
      <c r="G899" s="38"/>
      <c r="H899" s="38"/>
      <c r="I899" s="38"/>
      <c r="J899" s="38"/>
      <c r="K899" s="38"/>
      <c r="L899" s="39"/>
      <c r="M899" s="38"/>
      <c r="N899" s="38"/>
      <c r="O899" s="38"/>
      <c r="P899" s="38"/>
      <c r="Q899" s="38"/>
      <c r="R899" s="38"/>
      <c r="S899" s="38"/>
      <c r="BB899" s="9" t="str">
        <f t="shared" si="48"/>
        <v>Yes</v>
      </c>
      <c r="BC899" s="9" t="e">
        <f>IF(EFB!$N899=Table1[[#This Row],[ProgramTitle]],"Yes","No")</f>
        <v>#VALUE!</v>
      </c>
      <c r="BD899" s="9" t="e">
        <f>IF(EFB!$S899=Table1[[#This Row],[SeriesEpisodeTitle]],"Yes","No")</f>
        <v>#VALUE!</v>
      </c>
      <c r="BE899" s="11">
        <f t="shared" ref="BE899:BE962" si="49">TIME(HOUR(C899),MINUTE(C899),SECOND(0))</f>
        <v>0</v>
      </c>
      <c r="BF899" s="11">
        <f t="shared" ref="BF899:BF962" si="50">TIME(HOUR(L899),MINUTE(L899),SECOND(0))</f>
        <v>0</v>
      </c>
      <c r="BH899" s="36"/>
    </row>
    <row r="900" spans="3:60" x14ac:dyDescent="0.25">
      <c r="C900" s="35"/>
      <c r="L900" s="39"/>
      <c r="BB900" s="9" t="str">
        <f t="shared" si="48"/>
        <v>Yes</v>
      </c>
      <c r="BC900" s="9" t="e">
        <f>IF(EFB!$N900=Table1[[#This Row],[ProgramTitle]],"Yes","No")</f>
        <v>#VALUE!</v>
      </c>
      <c r="BD900" s="9" t="e">
        <f>IF(EFB!$S900=Table1[[#This Row],[SeriesEpisodeTitle]],"Yes","No")</f>
        <v>#VALUE!</v>
      </c>
      <c r="BE900" s="11">
        <f t="shared" si="49"/>
        <v>0</v>
      </c>
      <c r="BF900" s="11">
        <f t="shared" si="50"/>
        <v>0</v>
      </c>
      <c r="BH900" s="36"/>
    </row>
    <row r="901" spans="3:60" x14ac:dyDescent="0.25">
      <c r="C901" s="35"/>
      <c r="G901" s="38"/>
      <c r="H901" s="38"/>
      <c r="I901" s="38"/>
      <c r="J901" s="38"/>
      <c r="K901" s="38"/>
      <c r="L901" s="39"/>
      <c r="M901" s="38"/>
      <c r="N901" s="38"/>
      <c r="O901" s="38"/>
      <c r="P901" s="38"/>
      <c r="Q901" s="38"/>
      <c r="R901" s="38"/>
      <c r="S901" s="38"/>
      <c r="BB901" s="9" t="str">
        <f t="shared" si="48"/>
        <v>Yes</v>
      </c>
      <c r="BC901" s="9" t="e">
        <f>IF(EFB!$N901=Table1[[#This Row],[ProgramTitle]],"Yes","No")</f>
        <v>#VALUE!</v>
      </c>
      <c r="BD901" s="9" t="e">
        <f>IF(EFB!$S901=Table1[[#This Row],[SeriesEpisodeTitle]],"Yes","No")</f>
        <v>#VALUE!</v>
      </c>
      <c r="BE901" s="11">
        <f t="shared" si="49"/>
        <v>0</v>
      </c>
      <c r="BF901" s="11">
        <f t="shared" si="50"/>
        <v>0</v>
      </c>
      <c r="BH901" s="36"/>
    </row>
    <row r="902" spans="3:60" x14ac:dyDescent="0.25">
      <c r="C902" s="35"/>
      <c r="L902" s="39"/>
      <c r="BB902" s="9" t="str">
        <f t="shared" si="48"/>
        <v>Yes</v>
      </c>
      <c r="BC902" s="9" t="e">
        <f>IF(EFB!$N902=Table1[[#This Row],[ProgramTitle]],"Yes","No")</f>
        <v>#VALUE!</v>
      </c>
      <c r="BD902" s="9" t="e">
        <f>IF(EFB!$S902=Table1[[#This Row],[SeriesEpisodeTitle]],"Yes","No")</f>
        <v>#VALUE!</v>
      </c>
      <c r="BE902" s="11">
        <f t="shared" si="49"/>
        <v>0</v>
      </c>
      <c r="BF902" s="11">
        <f t="shared" si="50"/>
        <v>0</v>
      </c>
      <c r="BH902" s="36"/>
    </row>
    <row r="903" spans="3:60" x14ac:dyDescent="0.25">
      <c r="C903" s="35"/>
      <c r="G903" s="38"/>
      <c r="H903" s="38"/>
      <c r="I903" s="38"/>
      <c r="J903" s="38"/>
      <c r="K903" s="38"/>
      <c r="L903" s="39"/>
      <c r="M903" s="38"/>
      <c r="N903" s="38"/>
      <c r="O903" s="38"/>
      <c r="P903" s="38"/>
      <c r="Q903" s="38"/>
      <c r="R903" s="38"/>
      <c r="S903" s="38"/>
      <c r="BB903" s="9" t="str">
        <f t="shared" si="48"/>
        <v>Yes</v>
      </c>
      <c r="BC903" s="9" t="e">
        <f>IF(EFB!$N903=Table1[[#This Row],[ProgramTitle]],"Yes","No")</f>
        <v>#VALUE!</v>
      </c>
      <c r="BD903" s="9" t="e">
        <f>IF(EFB!$S903=Table1[[#This Row],[SeriesEpisodeTitle]],"Yes","No")</f>
        <v>#VALUE!</v>
      </c>
      <c r="BE903" s="11">
        <f t="shared" si="49"/>
        <v>0</v>
      </c>
      <c r="BF903" s="11">
        <f t="shared" si="50"/>
        <v>0</v>
      </c>
      <c r="BH903" s="36"/>
    </row>
    <row r="904" spans="3:60" x14ac:dyDescent="0.25">
      <c r="C904" s="35"/>
      <c r="L904" s="39"/>
      <c r="BB904" s="9" t="str">
        <f t="shared" si="48"/>
        <v>Yes</v>
      </c>
      <c r="BC904" s="9" t="e">
        <f>IF(EFB!$N904=Table1[[#This Row],[ProgramTitle]],"Yes","No")</f>
        <v>#VALUE!</v>
      </c>
      <c r="BD904" s="9" t="e">
        <f>IF(EFB!$S904=Table1[[#This Row],[SeriesEpisodeTitle]],"Yes","No")</f>
        <v>#VALUE!</v>
      </c>
      <c r="BE904" s="11">
        <f t="shared" si="49"/>
        <v>0</v>
      </c>
      <c r="BF904" s="11">
        <f t="shared" si="50"/>
        <v>0</v>
      </c>
      <c r="BH904" s="36"/>
    </row>
    <row r="905" spans="3:60" x14ac:dyDescent="0.25">
      <c r="C905" s="35"/>
      <c r="G905" s="38"/>
      <c r="H905" s="38"/>
      <c r="I905" s="38"/>
      <c r="J905" s="38"/>
      <c r="K905" s="38"/>
      <c r="L905" s="39"/>
      <c r="M905" s="38"/>
      <c r="N905" s="38"/>
      <c r="O905" s="38"/>
      <c r="P905" s="38"/>
      <c r="Q905" s="38"/>
      <c r="R905" s="38"/>
      <c r="S905" s="38"/>
      <c r="BB905" s="9" t="str">
        <f t="shared" si="48"/>
        <v>Yes</v>
      </c>
      <c r="BC905" s="9" t="e">
        <f>IF(EFB!$N905=Table1[[#This Row],[ProgramTitle]],"Yes","No")</f>
        <v>#VALUE!</v>
      </c>
      <c r="BD905" s="9" t="e">
        <f>IF(EFB!$S905=Table1[[#This Row],[SeriesEpisodeTitle]],"Yes","No")</f>
        <v>#VALUE!</v>
      </c>
      <c r="BE905" s="11">
        <f t="shared" si="49"/>
        <v>0</v>
      </c>
      <c r="BF905" s="11">
        <f t="shared" si="50"/>
        <v>0</v>
      </c>
      <c r="BH905" s="36"/>
    </row>
    <row r="906" spans="3:60" x14ac:dyDescent="0.25">
      <c r="C906" s="35"/>
      <c r="L906" s="39"/>
      <c r="BB906" s="9" t="str">
        <f t="shared" si="48"/>
        <v>Yes</v>
      </c>
      <c r="BC906" s="9" t="e">
        <f>IF(EFB!$N906=Table1[[#This Row],[ProgramTitle]],"Yes","No")</f>
        <v>#VALUE!</v>
      </c>
      <c r="BD906" s="9" t="e">
        <f>IF(EFB!$S906=Table1[[#This Row],[SeriesEpisodeTitle]],"Yes","No")</f>
        <v>#VALUE!</v>
      </c>
      <c r="BE906" s="11">
        <f t="shared" si="49"/>
        <v>0</v>
      </c>
      <c r="BF906" s="11">
        <f t="shared" si="50"/>
        <v>0</v>
      </c>
      <c r="BH906" s="36"/>
    </row>
    <row r="907" spans="3:60" x14ac:dyDescent="0.25">
      <c r="C907" s="35"/>
      <c r="G907" s="38"/>
      <c r="H907" s="38"/>
      <c r="I907" s="38"/>
      <c r="J907" s="38"/>
      <c r="K907" s="38"/>
      <c r="L907" s="39"/>
      <c r="M907" s="38"/>
      <c r="N907" s="38"/>
      <c r="O907" s="38"/>
      <c r="P907" s="38"/>
      <c r="Q907" s="38"/>
      <c r="R907" s="38"/>
      <c r="S907" s="38"/>
      <c r="BB907" s="9" t="str">
        <f t="shared" si="48"/>
        <v>Yes</v>
      </c>
      <c r="BC907" s="9" t="e">
        <f>IF(EFB!$N907=Table1[[#This Row],[ProgramTitle]],"Yes","No")</f>
        <v>#VALUE!</v>
      </c>
      <c r="BD907" s="9" t="e">
        <f>IF(EFB!$S907=Table1[[#This Row],[SeriesEpisodeTitle]],"Yes","No")</f>
        <v>#VALUE!</v>
      </c>
      <c r="BE907" s="11">
        <f t="shared" si="49"/>
        <v>0</v>
      </c>
      <c r="BF907" s="11">
        <f t="shared" si="50"/>
        <v>0</v>
      </c>
      <c r="BH907" s="36"/>
    </row>
    <row r="908" spans="3:60" x14ac:dyDescent="0.25">
      <c r="C908" s="35"/>
      <c r="L908" s="39"/>
      <c r="BB908" s="9" t="str">
        <f t="shared" si="48"/>
        <v>Yes</v>
      </c>
      <c r="BC908" s="9" t="e">
        <f>IF(EFB!$N908=Table1[[#This Row],[ProgramTitle]],"Yes","No")</f>
        <v>#VALUE!</v>
      </c>
      <c r="BD908" s="9" t="e">
        <f>IF(EFB!$S908=Table1[[#This Row],[SeriesEpisodeTitle]],"Yes","No")</f>
        <v>#VALUE!</v>
      </c>
      <c r="BE908" s="11">
        <f t="shared" si="49"/>
        <v>0</v>
      </c>
      <c r="BF908" s="11">
        <f t="shared" si="50"/>
        <v>0</v>
      </c>
      <c r="BH908" s="36"/>
    </row>
    <row r="909" spans="3:60" x14ac:dyDescent="0.25">
      <c r="C909" s="35"/>
      <c r="G909" s="38"/>
      <c r="H909" s="38"/>
      <c r="I909" s="38"/>
      <c r="J909" s="38"/>
      <c r="K909" s="38"/>
      <c r="L909" s="39"/>
      <c r="M909" s="38"/>
      <c r="N909" s="38"/>
      <c r="O909" s="38"/>
      <c r="P909" s="38"/>
      <c r="Q909" s="38"/>
      <c r="R909" s="38"/>
      <c r="S909" s="38"/>
      <c r="BB909" s="9" t="str">
        <f t="shared" si="48"/>
        <v>Yes</v>
      </c>
      <c r="BC909" s="9" t="e">
        <f>IF(EFB!$N909=Table1[[#This Row],[ProgramTitle]],"Yes","No")</f>
        <v>#VALUE!</v>
      </c>
      <c r="BD909" s="9" t="e">
        <f>IF(EFB!$S909=Table1[[#This Row],[SeriesEpisodeTitle]],"Yes","No")</f>
        <v>#VALUE!</v>
      </c>
      <c r="BE909" s="11">
        <f t="shared" si="49"/>
        <v>0</v>
      </c>
      <c r="BF909" s="11">
        <f t="shared" si="50"/>
        <v>0</v>
      </c>
      <c r="BH909" s="36"/>
    </row>
    <row r="910" spans="3:60" x14ac:dyDescent="0.25">
      <c r="C910" s="35"/>
      <c r="L910" s="39"/>
      <c r="BB910" s="9" t="str">
        <f t="shared" si="48"/>
        <v>Yes</v>
      </c>
      <c r="BC910" s="9" t="e">
        <f>IF(EFB!$N910=Table1[[#This Row],[ProgramTitle]],"Yes","No")</f>
        <v>#VALUE!</v>
      </c>
      <c r="BD910" s="9" t="e">
        <f>IF(EFB!$S910=Table1[[#This Row],[SeriesEpisodeTitle]],"Yes","No")</f>
        <v>#VALUE!</v>
      </c>
      <c r="BE910" s="11">
        <f t="shared" si="49"/>
        <v>0</v>
      </c>
      <c r="BF910" s="11">
        <f t="shared" si="50"/>
        <v>0</v>
      </c>
      <c r="BH910" s="36"/>
    </row>
    <row r="911" spans="3:60" x14ac:dyDescent="0.25">
      <c r="C911" s="35"/>
      <c r="G911" s="38"/>
      <c r="H911" s="38"/>
      <c r="I911" s="38"/>
      <c r="J911" s="38"/>
      <c r="K911" s="38"/>
      <c r="L911" s="39"/>
      <c r="M911" s="38"/>
      <c r="N911" s="38"/>
      <c r="O911" s="38"/>
      <c r="P911" s="38"/>
      <c r="Q911" s="38"/>
      <c r="R911" s="38"/>
      <c r="S911" s="38"/>
      <c r="BB911" s="9" t="str">
        <f t="shared" si="48"/>
        <v>Yes</v>
      </c>
      <c r="BC911" s="9" t="e">
        <f>IF(EFB!$N911=Table1[[#This Row],[ProgramTitle]],"Yes","No")</f>
        <v>#VALUE!</v>
      </c>
      <c r="BD911" s="9" t="e">
        <f>IF(EFB!$S911=Table1[[#This Row],[SeriesEpisodeTitle]],"Yes","No")</f>
        <v>#VALUE!</v>
      </c>
      <c r="BE911" s="11">
        <f t="shared" si="49"/>
        <v>0</v>
      </c>
      <c r="BF911" s="11">
        <f t="shared" si="50"/>
        <v>0</v>
      </c>
      <c r="BH911" s="36"/>
    </row>
    <row r="912" spans="3:60" x14ac:dyDescent="0.25">
      <c r="C912" s="35"/>
      <c r="L912" s="39"/>
      <c r="BB912" s="9" t="str">
        <f t="shared" si="48"/>
        <v>Yes</v>
      </c>
      <c r="BC912" s="9" t="e">
        <f>IF(EFB!$N912=Table1[[#This Row],[ProgramTitle]],"Yes","No")</f>
        <v>#VALUE!</v>
      </c>
      <c r="BD912" s="9" t="e">
        <f>IF(EFB!$S912=Table1[[#This Row],[SeriesEpisodeTitle]],"Yes","No")</f>
        <v>#VALUE!</v>
      </c>
      <c r="BE912" s="11">
        <f t="shared" si="49"/>
        <v>0</v>
      </c>
      <c r="BF912" s="11">
        <f t="shared" si="50"/>
        <v>0</v>
      </c>
      <c r="BH912" s="36"/>
    </row>
    <row r="913" spans="3:60" x14ac:dyDescent="0.25">
      <c r="C913" s="35"/>
      <c r="G913" s="38"/>
      <c r="H913" s="38"/>
      <c r="I913" s="38"/>
      <c r="J913" s="38"/>
      <c r="K913" s="38"/>
      <c r="L913" s="39"/>
      <c r="M913" s="38"/>
      <c r="N913" s="38"/>
      <c r="O913" s="38"/>
      <c r="P913" s="38"/>
      <c r="Q913" s="38"/>
      <c r="R913" s="38"/>
      <c r="S913" s="38"/>
      <c r="BB913" s="9" t="str">
        <f t="shared" si="48"/>
        <v>Yes</v>
      </c>
      <c r="BC913" s="9" t="e">
        <f>IF(EFB!$N913=Table1[[#This Row],[ProgramTitle]],"Yes","No")</f>
        <v>#VALUE!</v>
      </c>
      <c r="BD913" s="9" t="e">
        <f>IF(EFB!$S913=Table1[[#This Row],[SeriesEpisodeTitle]],"Yes","No")</f>
        <v>#VALUE!</v>
      </c>
      <c r="BE913" s="11">
        <f t="shared" si="49"/>
        <v>0</v>
      </c>
      <c r="BF913" s="11">
        <f t="shared" si="50"/>
        <v>0</v>
      </c>
      <c r="BH913" s="36"/>
    </row>
    <row r="914" spans="3:60" x14ac:dyDescent="0.25">
      <c r="C914" s="35"/>
      <c r="L914" s="39"/>
      <c r="BB914" s="9" t="str">
        <f t="shared" si="48"/>
        <v>Yes</v>
      </c>
      <c r="BC914" s="9" t="e">
        <f>IF(EFB!$N914=Table1[[#This Row],[ProgramTitle]],"Yes","No")</f>
        <v>#VALUE!</v>
      </c>
      <c r="BD914" s="9" t="e">
        <f>IF(EFB!$S914=Table1[[#This Row],[SeriesEpisodeTitle]],"Yes","No")</f>
        <v>#VALUE!</v>
      </c>
      <c r="BE914" s="11">
        <f t="shared" si="49"/>
        <v>0</v>
      </c>
      <c r="BF914" s="11">
        <f t="shared" si="50"/>
        <v>0</v>
      </c>
      <c r="BH914" s="36"/>
    </row>
    <row r="915" spans="3:60" x14ac:dyDescent="0.25">
      <c r="C915" s="35"/>
      <c r="G915" s="38"/>
      <c r="H915" s="38"/>
      <c r="I915" s="38"/>
      <c r="J915" s="38"/>
      <c r="K915" s="38"/>
      <c r="L915" s="39"/>
      <c r="M915" s="38"/>
      <c r="N915" s="38"/>
      <c r="O915" s="38"/>
      <c r="P915" s="38"/>
      <c r="Q915" s="38"/>
      <c r="R915" s="38"/>
      <c r="S915" s="38"/>
      <c r="BB915" s="9" t="str">
        <f t="shared" si="48"/>
        <v>Yes</v>
      </c>
      <c r="BC915" s="9" t="e">
        <f>IF(EFB!$N915=Table1[[#This Row],[ProgramTitle]],"Yes","No")</f>
        <v>#VALUE!</v>
      </c>
      <c r="BD915" s="9" t="e">
        <f>IF(EFB!$S915=Table1[[#This Row],[SeriesEpisodeTitle]],"Yes","No")</f>
        <v>#VALUE!</v>
      </c>
      <c r="BE915" s="11">
        <f t="shared" si="49"/>
        <v>0</v>
      </c>
      <c r="BF915" s="11">
        <f t="shared" si="50"/>
        <v>0</v>
      </c>
      <c r="BH915" s="36"/>
    </row>
    <row r="916" spans="3:60" x14ac:dyDescent="0.25">
      <c r="C916" s="35"/>
      <c r="L916" s="39"/>
      <c r="BB916" s="9" t="str">
        <f t="shared" si="48"/>
        <v>Yes</v>
      </c>
      <c r="BC916" s="9" t="e">
        <f>IF(EFB!$N916=Table1[[#This Row],[ProgramTitle]],"Yes","No")</f>
        <v>#VALUE!</v>
      </c>
      <c r="BD916" s="9" t="e">
        <f>IF(EFB!$S916=Table1[[#This Row],[SeriesEpisodeTitle]],"Yes","No")</f>
        <v>#VALUE!</v>
      </c>
      <c r="BE916" s="11">
        <f t="shared" si="49"/>
        <v>0</v>
      </c>
      <c r="BF916" s="11">
        <f t="shared" si="50"/>
        <v>0</v>
      </c>
      <c r="BH916" s="36"/>
    </row>
    <row r="917" spans="3:60" x14ac:dyDescent="0.25">
      <c r="C917" s="35"/>
      <c r="G917" s="38"/>
      <c r="H917" s="38"/>
      <c r="I917" s="38"/>
      <c r="J917" s="38"/>
      <c r="K917" s="38"/>
      <c r="L917" s="39"/>
      <c r="M917" s="38"/>
      <c r="N917" s="38"/>
      <c r="O917" s="38"/>
      <c r="P917" s="38"/>
      <c r="Q917" s="38"/>
      <c r="R917" s="38"/>
      <c r="S917" s="38"/>
      <c r="BB917" s="9" t="str">
        <f t="shared" si="48"/>
        <v>Yes</v>
      </c>
      <c r="BC917" s="9" t="e">
        <f>IF(EFB!$N917=Table1[[#This Row],[ProgramTitle]],"Yes","No")</f>
        <v>#VALUE!</v>
      </c>
      <c r="BD917" s="9" t="e">
        <f>IF(EFB!$S917=Table1[[#This Row],[SeriesEpisodeTitle]],"Yes","No")</f>
        <v>#VALUE!</v>
      </c>
      <c r="BE917" s="11">
        <f t="shared" si="49"/>
        <v>0</v>
      </c>
      <c r="BF917" s="11">
        <f t="shared" si="50"/>
        <v>0</v>
      </c>
      <c r="BH917" s="36"/>
    </row>
    <row r="918" spans="3:60" x14ac:dyDescent="0.25">
      <c r="C918" s="35"/>
      <c r="L918" s="39"/>
      <c r="BB918" s="9" t="str">
        <f t="shared" si="48"/>
        <v>Yes</v>
      </c>
      <c r="BC918" s="9" t="e">
        <f>IF(EFB!$N918=Table1[[#This Row],[ProgramTitle]],"Yes","No")</f>
        <v>#VALUE!</v>
      </c>
      <c r="BD918" s="9" t="e">
        <f>IF(EFB!$S918=Table1[[#This Row],[SeriesEpisodeTitle]],"Yes","No")</f>
        <v>#VALUE!</v>
      </c>
      <c r="BE918" s="11">
        <f t="shared" si="49"/>
        <v>0</v>
      </c>
      <c r="BF918" s="11">
        <f t="shared" si="50"/>
        <v>0</v>
      </c>
      <c r="BH918" s="36"/>
    </row>
    <row r="919" spans="3:60" x14ac:dyDescent="0.25">
      <c r="C919" s="35"/>
      <c r="G919" s="38"/>
      <c r="H919" s="38"/>
      <c r="I919" s="38"/>
      <c r="J919" s="38"/>
      <c r="K919" s="38"/>
      <c r="L919" s="39"/>
      <c r="M919" s="38"/>
      <c r="N919" s="38"/>
      <c r="O919" s="38"/>
      <c r="P919" s="38"/>
      <c r="Q919" s="38"/>
      <c r="R919" s="38"/>
      <c r="S919" s="38"/>
      <c r="BB919" s="9" t="str">
        <f t="shared" si="48"/>
        <v>Yes</v>
      </c>
      <c r="BC919" s="9" t="e">
        <f>IF(EFB!$N919=Table1[[#This Row],[ProgramTitle]],"Yes","No")</f>
        <v>#VALUE!</v>
      </c>
      <c r="BD919" s="9" t="e">
        <f>IF(EFB!$S919=Table1[[#This Row],[SeriesEpisodeTitle]],"Yes","No")</f>
        <v>#VALUE!</v>
      </c>
      <c r="BE919" s="11">
        <f t="shared" si="49"/>
        <v>0</v>
      </c>
      <c r="BF919" s="11">
        <f t="shared" si="50"/>
        <v>0</v>
      </c>
      <c r="BH919" s="36"/>
    </row>
    <row r="920" spans="3:60" x14ac:dyDescent="0.25">
      <c r="C920" s="35"/>
      <c r="L920" s="39"/>
      <c r="BB920" s="9" t="str">
        <f t="shared" si="48"/>
        <v>Yes</v>
      </c>
      <c r="BC920" s="9" t="e">
        <f>IF(EFB!$N920=Table1[[#This Row],[ProgramTitle]],"Yes","No")</f>
        <v>#VALUE!</v>
      </c>
      <c r="BD920" s="9" t="e">
        <f>IF(EFB!$S920=Table1[[#This Row],[SeriesEpisodeTitle]],"Yes","No")</f>
        <v>#VALUE!</v>
      </c>
      <c r="BE920" s="11">
        <f t="shared" si="49"/>
        <v>0</v>
      </c>
      <c r="BF920" s="11">
        <f t="shared" si="50"/>
        <v>0</v>
      </c>
      <c r="BH920" s="36"/>
    </row>
    <row r="921" spans="3:60" x14ac:dyDescent="0.25">
      <c r="C921" s="35"/>
      <c r="G921" s="38"/>
      <c r="H921" s="38"/>
      <c r="I921" s="38"/>
      <c r="J921" s="38"/>
      <c r="K921" s="38"/>
      <c r="L921" s="39"/>
      <c r="M921" s="38"/>
      <c r="N921" s="38"/>
      <c r="O921" s="38"/>
      <c r="P921" s="38"/>
      <c r="Q921" s="38"/>
      <c r="R921" s="38"/>
      <c r="S921" s="38"/>
      <c r="BB921" s="9" t="str">
        <f t="shared" si="48"/>
        <v>Yes</v>
      </c>
      <c r="BC921" s="9" t="e">
        <f>IF(EFB!$N921=Table1[[#This Row],[ProgramTitle]],"Yes","No")</f>
        <v>#VALUE!</v>
      </c>
      <c r="BD921" s="9" t="e">
        <f>IF(EFB!$S921=Table1[[#This Row],[SeriesEpisodeTitle]],"Yes","No")</f>
        <v>#VALUE!</v>
      </c>
      <c r="BE921" s="11">
        <f t="shared" si="49"/>
        <v>0</v>
      </c>
      <c r="BF921" s="11">
        <f t="shared" si="50"/>
        <v>0</v>
      </c>
      <c r="BH921" s="36"/>
    </row>
    <row r="922" spans="3:60" x14ac:dyDescent="0.25">
      <c r="C922" s="35"/>
      <c r="L922" s="39"/>
      <c r="BB922" s="9" t="str">
        <f t="shared" si="48"/>
        <v>Yes</v>
      </c>
      <c r="BC922" s="9" t="e">
        <f>IF(EFB!$N922=Table1[[#This Row],[ProgramTitle]],"Yes","No")</f>
        <v>#VALUE!</v>
      </c>
      <c r="BD922" s="9" t="e">
        <f>IF(EFB!$S922=Table1[[#This Row],[SeriesEpisodeTitle]],"Yes","No")</f>
        <v>#VALUE!</v>
      </c>
      <c r="BE922" s="11">
        <f t="shared" si="49"/>
        <v>0</v>
      </c>
      <c r="BF922" s="11">
        <f t="shared" si="50"/>
        <v>0</v>
      </c>
      <c r="BH922" s="36"/>
    </row>
    <row r="923" spans="3:60" x14ac:dyDescent="0.25">
      <c r="C923" s="35"/>
      <c r="G923" s="38"/>
      <c r="H923" s="38"/>
      <c r="I923" s="38"/>
      <c r="J923" s="38"/>
      <c r="K923" s="38"/>
      <c r="L923" s="39"/>
      <c r="M923" s="38"/>
      <c r="N923" s="38"/>
      <c r="O923" s="38"/>
      <c r="P923" s="38"/>
      <c r="Q923" s="38"/>
      <c r="R923" s="38"/>
      <c r="S923" s="38"/>
      <c r="BB923" s="9" t="str">
        <f t="shared" si="48"/>
        <v>Yes</v>
      </c>
      <c r="BC923" s="9" t="e">
        <f>IF(EFB!$N923=Table1[[#This Row],[ProgramTitle]],"Yes","No")</f>
        <v>#VALUE!</v>
      </c>
      <c r="BD923" s="9" t="e">
        <f>IF(EFB!$S923=Table1[[#This Row],[SeriesEpisodeTitle]],"Yes","No")</f>
        <v>#VALUE!</v>
      </c>
      <c r="BE923" s="11">
        <f t="shared" si="49"/>
        <v>0</v>
      </c>
      <c r="BF923" s="11">
        <f t="shared" si="50"/>
        <v>0</v>
      </c>
      <c r="BH923" s="36"/>
    </row>
    <row r="924" spans="3:60" x14ac:dyDescent="0.25">
      <c r="C924" s="35"/>
      <c r="L924" s="39"/>
      <c r="BB924" s="9" t="str">
        <f t="shared" si="48"/>
        <v>Yes</v>
      </c>
      <c r="BC924" s="9" t="e">
        <f>IF(EFB!$N924=Table1[[#This Row],[ProgramTitle]],"Yes","No")</f>
        <v>#VALUE!</v>
      </c>
      <c r="BD924" s="9" t="e">
        <f>IF(EFB!$S924=Table1[[#This Row],[SeriesEpisodeTitle]],"Yes","No")</f>
        <v>#VALUE!</v>
      </c>
      <c r="BE924" s="11">
        <f t="shared" si="49"/>
        <v>0</v>
      </c>
      <c r="BF924" s="11">
        <f t="shared" si="50"/>
        <v>0</v>
      </c>
      <c r="BH924" s="36"/>
    </row>
    <row r="925" spans="3:60" x14ac:dyDescent="0.25">
      <c r="C925" s="35"/>
      <c r="G925" s="38"/>
      <c r="H925" s="38"/>
      <c r="I925" s="38"/>
      <c r="J925" s="38"/>
      <c r="K925" s="38"/>
      <c r="L925" s="39"/>
      <c r="M925" s="38"/>
      <c r="N925" s="38"/>
      <c r="O925" s="38"/>
      <c r="P925" s="38"/>
      <c r="Q925" s="38"/>
      <c r="R925" s="38"/>
      <c r="S925" s="38"/>
      <c r="BB925" s="9" t="str">
        <f t="shared" si="48"/>
        <v>Yes</v>
      </c>
      <c r="BC925" s="9" t="e">
        <f>IF(EFB!$N925=Table1[[#This Row],[ProgramTitle]],"Yes","No")</f>
        <v>#VALUE!</v>
      </c>
      <c r="BD925" s="9" t="e">
        <f>IF(EFB!$S925=Table1[[#This Row],[SeriesEpisodeTitle]],"Yes","No")</f>
        <v>#VALUE!</v>
      </c>
      <c r="BE925" s="11">
        <f t="shared" si="49"/>
        <v>0</v>
      </c>
      <c r="BF925" s="11">
        <f t="shared" si="50"/>
        <v>0</v>
      </c>
      <c r="BH925" s="36"/>
    </row>
    <row r="926" spans="3:60" x14ac:dyDescent="0.25">
      <c r="C926" s="35"/>
      <c r="L926" s="39"/>
      <c r="BB926" s="9" t="str">
        <f t="shared" si="48"/>
        <v>Yes</v>
      </c>
      <c r="BC926" s="9" t="e">
        <f>IF(EFB!$N926=Table1[[#This Row],[ProgramTitle]],"Yes","No")</f>
        <v>#VALUE!</v>
      </c>
      <c r="BD926" s="9" t="e">
        <f>IF(EFB!$S926=Table1[[#This Row],[SeriesEpisodeTitle]],"Yes","No")</f>
        <v>#VALUE!</v>
      </c>
      <c r="BE926" s="11">
        <f t="shared" si="49"/>
        <v>0</v>
      </c>
      <c r="BF926" s="11">
        <f t="shared" si="50"/>
        <v>0</v>
      </c>
      <c r="BH926" s="36"/>
    </row>
    <row r="927" spans="3:60" x14ac:dyDescent="0.25">
      <c r="C927" s="35"/>
      <c r="G927" s="38"/>
      <c r="H927" s="38"/>
      <c r="I927" s="38"/>
      <c r="J927" s="38"/>
      <c r="K927" s="38"/>
      <c r="L927" s="39"/>
      <c r="M927" s="38"/>
      <c r="N927" s="38"/>
      <c r="O927" s="38"/>
      <c r="P927" s="38"/>
      <c r="Q927" s="38"/>
      <c r="R927" s="38"/>
      <c r="S927" s="38"/>
      <c r="BB927" s="9" t="str">
        <f t="shared" si="48"/>
        <v>Yes</v>
      </c>
      <c r="BC927" s="9" t="e">
        <f>IF(EFB!$N927=Table1[[#This Row],[ProgramTitle]],"Yes","No")</f>
        <v>#VALUE!</v>
      </c>
      <c r="BD927" s="9" t="e">
        <f>IF(EFB!$S927=Table1[[#This Row],[SeriesEpisodeTitle]],"Yes","No")</f>
        <v>#VALUE!</v>
      </c>
      <c r="BE927" s="11">
        <f t="shared" si="49"/>
        <v>0</v>
      </c>
      <c r="BF927" s="11">
        <f t="shared" si="50"/>
        <v>0</v>
      </c>
      <c r="BH927" s="36"/>
    </row>
    <row r="928" spans="3:60" x14ac:dyDescent="0.25">
      <c r="C928" s="35"/>
      <c r="L928" s="39"/>
      <c r="BB928" s="9" t="str">
        <f t="shared" si="48"/>
        <v>Yes</v>
      </c>
      <c r="BC928" s="9" t="e">
        <f>IF(EFB!$N928=Table1[[#This Row],[ProgramTitle]],"Yes","No")</f>
        <v>#VALUE!</v>
      </c>
      <c r="BD928" s="9" t="e">
        <f>IF(EFB!$S928=Table1[[#This Row],[SeriesEpisodeTitle]],"Yes","No")</f>
        <v>#VALUE!</v>
      </c>
      <c r="BE928" s="11">
        <f t="shared" si="49"/>
        <v>0</v>
      </c>
      <c r="BF928" s="11">
        <f t="shared" si="50"/>
        <v>0</v>
      </c>
      <c r="BH928" s="36"/>
    </row>
    <row r="929" spans="3:60" x14ac:dyDescent="0.25">
      <c r="C929" s="35"/>
      <c r="G929" s="38"/>
      <c r="H929" s="38"/>
      <c r="I929" s="38"/>
      <c r="J929" s="38"/>
      <c r="K929" s="38"/>
      <c r="L929" s="39"/>
      <c r="M929" s="38"/>
      <c r="N929" s="38"/>
      <c r="O929" s="38"/>
      <c r="P929" s="38"/>
      <c r="Q929" s="38"/>
      <c r="R929" s="38"/>
      <c r="S929" s="38"/>
      <c r="BB929" s="9" t="str">
        <f t="shared" si="48"/>
        <v>Yes</v>
      </c>
      <c r="BC929" s="9" t="e">
        <f>IF(EFB!$N929=Table1[[#This Row],[ProgramTitle]],"Yes","No")</f>
        <v>#VALUE!</v>
      </c>
      <c r="BD929" s="9" t="e">
        <f>IF(EFB!$S929=Table1[[#This Row],[SeriesEpisodeTitle]],"Yes","No")</f>
        <v>#VALUE!</v>
      </c>
      <c r="BE929" s="11">
        <f t="shared" si="49"/>
        <v>0</v>
      </c>
      <c r="BF929" s="11">
        <f t="shared" si="50"/>
        <v>0</v>
      </c>
      <c r="BH929" s="36"/>
    </row>
    <row r="930" spans="3:60" x14ac:dyDescent="0.25">
      <c r="C930" s="35"/>
      <c r="L930" s="39"/>
      <c r="BB930" s="9" t="str">
        <f t="shared" si="48"/>
        <v>Yes</v>
      </c>
      <c r="BC930" s="9" t="e">
        <f>IF(EFB!$N930=Table1[[#This Row],[ProgramTitle]],"Yes","No")</f>
        <v>#VALUE!</v>
      </c>
      <c r="BD930" s="9" t="e">
        <f>IF(EFB!$S930=Table1[[#This Row],[SeriesEpisodeTitle]],"Yes","No")</f>
        <v>#VALUE!</v>
      </c>
      <c r="BE930" s="11">
        <f t="shared" si="49"/>
        <v>0</v>
      </c>
      <c r="BF930" s="11">
        <f t="shared" si="50"/>
        <v>0</v>
      </c>
      <c r="BH930" s="36"/>
    </row>
    <row r="931" spans="3:60" x14ac:dyDescent="0.25">
      <c r="C931" s="35"/>
      <c r="G931" s="38"/>
      <c r="H931" s="38"/>
      <c r="I931" s="38"/>
      <c r="J931" s="38"/>
      <c r="K931" s="38"/>
      <c r="L931" s="39"/>
      <c r="M931" s="38"/>
      <c r="N931" s="38"/>
      <c r="O931" s="38"/>
      <c r="P931" s="38"/>
      <c r="Q931" s="38"/>
      <c r="R931" s="38"/>
      <c r="S931" s="38"/>
      <c r="BB931" s="9" t="str">
        <f t="shared" si="48"/>
        <v>Yes</v>
      </c>
      <c r="BC931" s="9" t="e">
        <f>IF(EFB!$N931=Table1[[#This Row],[ProgramTitle]],"Yes","No")</f>
        <v>#VALUE!</v>
      </c>
      <c r="BD931" s="9" t="e">
        <f>IF(EFB!$S931=Table1[[#This Row],[SeriesEpisodeTitle]],"Yes","No")</f>
        <v>#VALUE!</v>
      </c>
      <c r="BE931" s="11">
        <f t="shared" si="49"/>
        <v>0</v>
      </c>
      <c r="BF931" s="11">
        <f t="shared" si="50"/>
        <v>0</v>
      </c>
      <c r="BH931" s="36"/>
    </row>
    <row r="932" spans="3:60" x14ac:dyDescent="0.25">
      <c r="C932" s="35"/>
      <c r="L932" s="39"/>
      <c r="BB932" s="9" t="str">
        <f t="shared" si="48"/>
        <v>Yes</v>
      </c>
      <c r="BC932" s="9" t="e">
        <f>IF(EFB!$N932=Table1[[#This Row],[ProgramTitle]],"Yes","No")</f>
        <v>#VALUE!</v>
      </c>
      <c r="BD932" s="9" t="e">
        <f>IF(EFB!$S932=Table1[[#This Row],[SeriesEpisodeTitle]],"Yes","No")</f>
        <v>#VALUE!</v>
      </c>
      <c r="BE932" s="11">
        <f t="shared" si="49"/>
        <v>0</v>
      </c>
      <c r="BF932" s="11">
        <f t="shared" si="50"/>
        <v>0</v>
      </c>
      <c r="BH932" s="36"/>
    </row>
    <row r="933" spans="3:60" x14ac:dyDescent="0.25">
      <c r="C933" s="35"/>
      <c r="G933" s="38"/>
      <c r="H933" s="38"/>
      <c r="I933" s="38"/>
      <c r="J933" s="38"/>
      <c r="K933" s="38"/>
      <c r="L933" s="39"/>
      <c r="M933" s="38"/>
      <c r="N933" s="38"/>
      <c r="O933" s="38"/>
      <c r="P933" s="38"/>
      <c r="Q933" s="38"/>
      <c r="R933" s="38"/>
      <c r="S933" s="38"/>
      <c r="BB933" s="9" t="str">
        <f t="shared" si="48"/>
        <v>Yes</v>
      </c>
      <c r="BC933" s="9" t="e">
        <f>IF(EFB!$N933=Table1[[#This Row],[ProgramTitle]],"Yes","No")</f>
        <v>#VALUE!</v>
      </c>
      <c r="BD933" s="9" t="e">
        <f>IF(EFB!$S933=Table1[[#This Row],[SeriesEpisodeTitle]],"Yes","No")</f>
        <v>#VALUE!</v>
      </c>
      <c r="BE933" s="11">
        <f t="shared" si="49"/>
        <v>0</v>
      </c>
      <c r="BF933" s="11">
        <f t="shared" si="50"/>
        <v>0</v>
      </c>
      <c r="BH933" s="36"/>
    </row>
    <row r="934" spans="3:60" x14ac:dyDescent="0.25">
      <c r="C934" s="35"/>
      <c r="L934" s="39"/>
      <c r="BB934" s="9" t="str">
        <f t="shared" si="48"/>
        <v>Yes</v>
      </c>
      <c r="BC934" s="9" t="e">
        <f>IF(EFB!$N934=Table1[[#This Row],[ProgramTitle]],"Yes","No")</f>
        <v>#VALUE!</v>
      </c>
      <c r="BD934" s="9" t="e">
        <f>IF(EFB!$S934=Table1[[#This Row],[SeriesEpisodeTitle]],"Yes","No")</f>
        <v>#VALUE!</v>
      </c>
      <c r="BE934" s="11">
        <f t="shared" si="49"/>
        <v>0</v>
      </c>
      <c r="BF934" s="11">
        <f t="shared" si="50"/>
        <v>0</v>
      </c>
      <c r="BH934" s="36"/>
    </row>
    <row r="935" spans="3:60" x14ac:dyDescent="0.25">
      <c r="C935" s="35"/>
      <c r="G935" s="38"/>
      <c r="H935" s="38"/>
      <c r="I935" s="38"/>
      <c r="J935" s="38"/>
      <c r="K935" s="38"/>
      <c r="L935" s="39"/>
      <c r="M935" s="38"/>
      <c r="N935" s="38"/>
      <c r="O935" s="38"/>
      <c r="P935" s="38"/>
      <c r="Q935" s="38"/>
      <c r="R935" s="38"/>
      <c r="S935" s="38"/>
      <c r="BB935" s="9" t="str">
        <f t="shared" si="48"/>
        <v>Yes</v>
      </c>
      <c r="BC935" s="9" t="e">
        <f>IF(EFB!$N935=Table1[[#This Row],[ProgramTitle]],"Yes","No")</f>
        <v>#VALUE!</v>
      </c>
      <c r="BD935" s="9" t="e">
        <f>IF(EFB!$S935=Table1[[#This Row],[SeriesEpisodeTitle]],"Yes","No")</f>
        <v>#VALUE!</v>
      </c>
      <c r="BE935" s="11">
        <f t="shared" si="49"/>
        <v>0</v>
      </c>
      <c r="BF935" s="11">
        <f t="shared" si="50"/>
        <v>0</v>
      </c>
      <c r="BH935" s="36"/>
    </row>
    <row r="936" spans="3:60" x14ac:dyDescent="0.25">
      <c r="C936" s="35"/>
      <c r="L936" s="39"/>
      <c r="BB936" s="9" t="str">
        <f t="shared" si="48"/>
        <v>Yes</v>
      </c>
      <c r="BC936" s="9" t="e">
        <f>IF(EFB!$N936=Table1[[#This Row],[ProgramTitle]],"Yes","No")</f>
        <v>#VALUE!</v>
      </c>
      <c r="BD936" s="9" t="e">
        <f>IF(EFB!$S936=Table1[[#This Row],[SeriesEpisodeTitle]],"Yes","No")</f>
        <v>#VALUE!</v>
      </c>
      <c r="BE936" s="11">
        <f t="shared" si="49"/>
        <v>0</v>
      </c>
      <c r="BF936" s="11">
        <f t="shared" si="50"/>
        <v>0</v>
      </c>
      <c r="BH936" s="36"/>
    </row>
    <row r="937" spans="3:60" x14ac:dyDescent="0.25">
      <c r="C937" s="35"/>
      <c r="G937" s="38"/>
      <c r="H937" s="38"/>
      <c r="I937" s="38"/>
      <c r="J937" s="38"/>
      <c r="K937" s="38"/>
      <c r="L937" s="39"/>
      <c r="M937" s="38"/>
      <c r="N937" s="38"/>
      <c r="O937" s="38"/>
      <c r="P937" s="38"/>
      <c r="Q937" s="38"/>
      <c r="R937" s="38"/>
      <c r="S937" s="38"/>
      <c r="BB937" s="9" t="str">
        <f t="shared" si="48"/>
        <v>Yes</v>
      </c>
      <c r="BC937" s="9" t="e">
        <f>IF(EFB!$N937=Table1[[#This Row],[ProgramTitle]],"Yes","No")</f>
        <v>#VALUE!</v>
      </c>
      <c r="BD937" s="9" t="e">
        <f>IF(EFB!$S937=Table1[[#This Row],[SeriesEpisodeTitle]],"Yes","No")</f>
        <v>#VALUE!</v>
      </c>
      <c r="BE937" s="11">
        <f t="shared" si="49"/>
        <v>0</v>
      </c>
      <c r="BF937" s="11">
        <f t="shared" si="50"/>
        <v>0</v>
      </c>
      <c r="BH937" s="36"/>
    </row>
    <row r="938" spans="3:60" x14ac:dyDescent="0.25">
      <c r="C938" s="35"/>
      <c r="L938" s="39"/>
      <c r="BB938" s="9" t="str">
        <f t="shared" si="48"/>
        <v>Yes</v>
      </c>
      <c r="BC938" s="9" t="e">
        <f>IF(EFB!$N938=Table1[[#This Row],[ProgramTitle]],"Yes","No")</f>
        <v>#VALUE!</v>
      </c>
      <c r="BD938" s="9" t="e">
        <f>IF(EFB!$S938=Table1[[#This Row],[SeriesEpisodeTitle]],"Yes","No")</f>
        <v>#VALUE!</v>
      </c>
      <c r="BE938" s="11">
        <f t="shared" si="49"/>
        <v>0</v>
      </c>
      <c r="BF938" s="11">
        <f t="shared" si="50"/>
        <v>0</v>
      </c>
      <c r="BH938" s="36"/>
    </row>
    <row r="939" spans="3:60" x14ac:dyDescent="0.25">
      <c r="C939" s="35"/>
      <c r="G939" s="38"/>
      <c r="H939" s="38"/>
      <c r="I939" s="38"/>
      <c r="J939" s="38"/>
      <c r="K939" s="38"/>
      <c r="L939" s="39"/>
      <c r="M939" s="38"/>
      <c r="N939" s="38"/>
      <c r="O939" s="38"/>
      <c r="P939" s="38"/>
      <c r="Q939" s="38"/>
      <c r="R939" s="38"/>
      <c r="S939" s="38"/>
      <c r="BB939" s="9" t="str">
        <f t="shared" si="48"/>
        <v>Yes</v>
      </c>
      <c r="BC939" s="9" t="e">
        <f>IF(EFB!$N939=Table1[[#This Row],[ProgramTitle]],"Yes","No")</f>
        <v>#VALUE!</v>
      </c>
      <c r="BD939" s="9" t="e">
        <f>IF(EFB!$S939=Table1[[#This Row],[SeriesEpisodeTitle]],"Yes","No")</f>
        <v>#VALUE!</v>
      </c>
      <c r="BE939" s="11">
        <f t="shared" si="49"/>
        <v>0</v>
      </c>
      <c r="BF939" s="11">
        <f t="shared" si="50"/>
        <v>0</v>
      </c>
      <c r="BH939" s="36"/>
    </row>
    <row r="940" spans="3:60" x14ac:dyDescent="0.25">
      <c r="C940" s="35"/>
      <c r="L940" s="39"/>
      <c r="BB940" s="9" t="str">
        <f t="shared" si="48"/>
        <v>Yes</v>
      </c>
      <c r="BC940" s="9" t="e">
        <f>IF(EFB!$N940=Table1[[#This Row],[ProgramTitle]],"Yes","No")</f>
        <v>#VALUE!</v>
      </c>
      <c r="BD940" s="9" t="e">
        <f>IF(EFB!$S940=Table1[[#This Row],[SeriesEpisodeTitle]],"Yes","No")</f>
        <v>#VALUE!</v>
      </c>
      <c r="BE940" s="11">
        <f t="shared" si="49"/>
        <v>0</v>
      </c>
      <c r="BF940" s="11">
        <f t="shared" si="50"/>
        <v>0</v>
      </c>
      <c r="BH940" s="36"/>
    </row>
    <row r="941" spans="3:60" x14ac:dyDescent="0.25">
      <c r="C941" s="35"/>
      <c r="G941" s="38"/>
      <c r="H941" s="38"/>
      <c r="I941" s="38"/>
      <c r="J941" s="38"/>
      <c r="K941" s="38"/>
      <c r="L941" s="39"/>
      <c r="M941" s="38"/>
      <c r="N941" s="38"/>
      <c r="O941" s="38"/>
      <c r="P941" s="38"/>
      <c r="Q941" s="38"/>
      <c r="R941" s="38"/>
      <c r="S941" s="38"/>
      <c r="BB941" s="9" t="str">
        <f t="shared" si="48"/>
        <v>Yes</v>
      </c>
      <c r="BC941" s="9" t="e">
        <f>IF(EFB!$N941=Table1[[#This Row],[ProgramTitle]],"Yes","No")</f>
        <v>#VALUE!</v>
      </c>
      <c r="BD941" s="9" t="e">
        <f>IF(EFB!$S941=Table1[[#This Row],[SeriesEpisodeTitle]],"Yes","No")</f>
        <v>#VALUE!</v>
      </c>
      <c r="BE941" s="11">
        <f t="shared" si="49"/>
        <v>0</v>
      </c>
      <c r="BF941" s="11">
        <f t="shared" si="50"/>
        <v>0</v>
      </c>
      <c r="BH941" s="36"/>
    </row>
    <row r="942" spans="3:60" x14ac:dyDescent="0.25">
      <c r="C942" s="35"/>
      <c r="L942" s="39"/>
      <c r="BB942" s="9" t="str">
        <f t="shared" si="48"/>
        <v>Yes</v>
      </c>
      <c r="BC942" s="9" t="e">
        <f>IF(EFB!$N942=Table1[[#This Row],[ProgramTitle]],"Yes","No")</f>
        <v>#VALUE!</v>
      </c>
      <c r="BD942" s="9" t="e">
        <f>IF(EFB!$S942=Table1[[#This Row],[SeriesEpisodeTitle]],"Yes","No")</f>
        <v>#VALUE!</v>
      </c>
      <c r="BE942" s="11">
        <f t="shared" si="49"/>
        <v>0</v>
      </c>
      <c r="BF942" s="11">
        <f t="shared" si="50"/>
        <v>0</v>
      </c>
      <c r="BH942" s="36"/>
    </row>
    <row r="943" spans="3:60" x14ac:dyDescent="0.25">
      <c r="C943" s="35"/>
      <c r="G943" s="38"/>
      <c r="H943" s="38"/>
      <c r="I943" s="38"/>
      <c r="J943" s="38"/>
      <c r="K943" s="38"/>
      <c r="L943" s="39"/>
      <c r="M943" s="38"/>
      <c r="N943" s="38"/>
      <c r="O943" s="38"/>
      <c r="P943" s="38"/>
      <c r="Q943" s="38"/>
      <c r="R943" s="38"/>
      <c r="S943" s="38"/>
      <c r="BB943" s="9" t="str">
        <f t="shared" ref="BB943:BB1006" si="51">IF(BE943=BF943,"Yes","No")</f>
        <v>Yes</v>
      </c>
      <c r="BC943" s="9" t="e">
        <f>IF(EFB!$N943=Table1[[#This Row],[ProgramTitle]],"Yes","No")</f>
        <v>#VALUE!</v>
      </c>
      <c r="BD943" s="9" t="e">
        <f>IF(EFB!$S943=Table1[[#This Row],[SeriesEpisodeTitle]],"Yes","No")</f>
        <v>#VALUE!</v>
      </c>
      <c r="BE943" s="11">
        <f t="shared" si="49"/>
        <v>0</v>
      </c>
      <c r="BF943" s="11">
        <f t="shared" si="50"/>
        <v>0</v>
      </c>
      <c r="BH943" s="36"/>
    </row>
    <row r="944" spans="3:60" x14ac:dyDescent="0.25">
      <c r="C944" s="35"/>
      <c r="L944" s="39"/>
      <c r="BB944" s="9" t="str">
        <f t="shared" si="51"/>
        <v>Yes</v>
      </c>
      <c r="BC944" s="9" t="e">
        <f>IF(EFB!$N944=Table1[[#This Row],[ProgramTitle]],"Yes","No")</f>
        <v>#VALUE!</v>
      </c>
      <c r="BD944" s="9" t="e">
        <f>IF(EFB!$S944=Table1[[#This Row],[SeriesEpisodeTitle]],"Yes","No")</f>
        <v>#VALUE!</v>
      </c>
      <c r="BE944" s="11">
        <f t="shared" si="49"/>
        <v>0</v>
      </c>
      <c r="BF944" s="11">
        <f t="shared" si="50"/>
        <v>0</v>
      </c>
      <c r="BH944" s="36"/>
    </row>
    <row r="945" spans="3:60" x14ac:dyDescent="0.25">
      <c r="C945" s="35"/>
      <c r="G945" s="38"/>
      <c r="H945" s="38"/>
      <c r="I945" s="38"/>
      <c r="J945" s="38"/>
      <c r="K945" s="38"/>
      <c r="L945" s="39"/>
      <c r="M945" s="38"/>
      <c r="N945" s="38"/>
      <c r="O945" s="38"/>
      <c r="P945" s="38"/>
      <c r="Q945" s="38"/>
      <c r="R945" s="38"/>
      <c r="S945" s="38"/>
      <c r="BB945" s="9" t="str">
        <f t="shared" si="51"/>
        <v>Yes</v>
      </c>
      <c r="BC945" s="9" t="e">
        <f>IF(EFB!$N945=Table1[[#This Row],[ProgramTitle]],"Yes","No")</f>
        <v>#VALUE!</v>
      </c>
      <c r="BD945" s="9" t="e">
        <f>IF(EFB!$S945=Table1[[#This Row],[SeriesEpisodeTitle]],"Yes","No")</f>
        <v>#VALUE!</v>
      </c>
      <c r="BE945" s="11">
        <f t="shared" si="49"/>
        <v>0</v>
      </c>
      <c r="BF945" s="11">
        <f t="shared" si="50"/>
        <v>0</v>
      </c>
      <c r="BH945" s="36"/>
    </row>
    <row r="946" spans="3:60" x14ac:dyDescent="0.25">
      <c r="C946" s="35"/>
      <c r="L946" s="39"/>
      <c r="BB946" s="9" t="str">
        <f t="shared" si="51"/>
        <v>Yes</v>
      </c>
      <c r="BC946" s="9" t="e">
        <f>IF(EFB!$N946=Table1[[#This Row],[ProgramTitle]],"Yes","No")</f>
        <v>#VALUE!</v>
      </c>
      <c r="BD946" s="9" t="e">
        <f>IF(EFB!$S946=Table1[[#This Row],[SeriesEpisodeTitle]],"Yes","No")</f>
        <v>#VALUE!</v>
      </c>
      <c r="BE946" s="11">
        <f t="shared" si="49"/>
        <v>0</v>
      </c>
      <c r="BF946" s="11">
        <f t="shared" si="50"/>
        <v>0</v>
      </c>
      <c r="BH946" s="36"/>
    </row>
    <row r="947" spans="3:60" x14ac:dyDescent="0.25">
      <c r="C947" s="35"/>
      <c r="G947" s="38"/>
      <c r="H947" s="38"/>
      <c r="I947" s="38"/>
      <c r="J947" s="38"/>
      <c r="K947" s="38"/>
      <c r="L947" s="39"/>
      <c r="M947" s="38"/>
      <c r="N947" s="38"/>
      <c r="O947" s="38"/>
      <c r="P947" s="38"/>
      <c r="Q947" s="38"/>
      <c r="R947" s="38"/>
      <c r="S947" s="38"/>
      <c r="BB947" s="9" t="str">
        <f t="shared" si="51"/>
        <v>Yes</v>
      </c>
      <c r="BC947" s="9" t="e">
        <f>IF(EFB!$N947=Table1[[#This Row],[ProgramTitle]],"Yes","No")</f>
        <v>#VALUE!</v>
      </c>
      <c r="BD947" s="9" t="e">
        <f>IF(EFB!$S947=Table1[[#This Row],[SeriesEpisodeTitle]],"Yes","No")</f>
        <v>#VALUE!</v>
      </c>
      <c r="BE947" s="11">
        <f t="shared" si="49"/>
        <v>0</v>
      </c>
      <c r="BF947" s="11">
        <f t="shared" si="50"/>
        <v>0</v>
      </c>
      <c r="BH947" s="36"/>
    </row>
    <row r="948" spans="3:60" x14ac:dyDescent="0.25">
      <c r="C948" s="35"/>
      <c r="L948" s="39"/>
      <c r="BB948" s="9" t="str">
        <f t="shared" si="51"/>
        <v>Yes</v>
      </c>
      <c r="BC948" s="9" t="e">
        <f>IF(EFB!$N948=Table1[[#This Row],[ProgramTitle]],"Yes","No")</f>
        <v>#VALUE!</v>
      </c>
      <c r="BD948" s="9" t="e">
        <f>IF(EFB!$S948=Table1[[#This Row],[SeriesEpisodeTitle]],"Yes","No")</f>
        <v>#VALUE!</v>
      </c>
      <c r="BE948" s="11">
        <f t="shared" si="49"/>
        <v>0</v>
      </c>
      <c r="BF948" s="11">
        <f t="shared" si="50"/>
        <v>0</v>
      </c>
      <c r="BH948" s="36"/>
    </row>
    <row r="949" spans="3:60" x14ac:dyDescent="0.25">
      <c r="C949" s="35"/>
      <c r="G949" s="38"/>
      <c r="H949" s="38"/>
      <c r="I949" s="38"/>
      <c r="J949" s="38"/>
      <c r="K949" s="38"/>
      <c r="L949" s="39"/>
      <c r="M949" s="38"/>
      <c r="N949" s="38"/>
      <c r="O949" s="38"/>
      <c r="P949" s="38"/>
      <c r="Q949" s="38"/>
      <c r="R949" s="38"/>
      <c r="S949" s="38"/>
      <c r="BB949" s="9" t="str">
        <f t="shared" si="51"/>
        <v>Yes</v>
      </c>
      <c r="BC949" s="9" t="e">
        <f>IF(EFB!$N949=Table1[[#This Row],[ProgramTitle]],"Yes","No")</f>
        <v>#VALUE!</v>
      </c>
      <c r="BD949" s="9" t="e">
        <f>IF(EFB!$S949=Table1[[#This Row],[SeriesEpisodeTitle]],"Yes","No")</f>
        <v>#VALUE!</v>
      </c>
      <c r="BE949" s="11">
        <f t="shared" si="49"/>
        <v>0</v>
      </c>
      <c r="BF949" s="11">
        <f t="shared" si="50"/>
        <v>0</v>
      </c>
      <c r="BH949" s="36"/>
    </row>
    <row r="950" spans="3:60" x14ac:dyDescent="0.25">
      <c r="C950" s="35"/>
      <c r="L950" s="39"/>
      <c r="BB950" s="9" t="str">
        <f t="shared" si="51"/>
        <v>Yes</v>
      </c>
      <c r="BC950" s="9" t="e">
        <f>IF(EFB!$N950=Table1[[#This Row],[ProgramTitle]],"Yes","No")</f>
        <v>#VALUE!</v>
      </c>
      <c r="BD950" s="9" t="e">
        <f>IF(EFB!$S950=Table1[[#This Row],[SeriesEpisodeTitle]],"Yes","No")</f>
        <v>#VALUE!</v>
      </c>
      <c r="BE950" s="11">
        <f t="shared" si="49"/>
        <v>0</v>
      </c>
      <c r="BF950" s="11">
        <f t="shared" si="50"/>
        <v>0</v>
      </c>
      <c r="BH950" s="36"/>
    </row>
    <row r="951" spans="3:60" x14ac:dyDescent="0.25">
      <c r="C951" s="35"/>
      <c r="G951" s="38"/>
      <c r="H951" s="38"/>
      <c r="I951" s="38"/>
      <c r="J951" s="38"/>
      <c r="K951" s="38"/>
      <c r="L951" s="39"/>
      <c r="M951" s="38"/>
      <c r="N951" s="38"/>
      <c r="O951" s="38"/>
      <c r="P951" s="38"/>
      <c r="Q951" s="38"/>
      <c r="R951" s="38"/>
      <c r="S951" s="38"/>
      <c r="BB951" s="9" t="str">
        <f t="shared" si="51"/>
        <v>Yes</v>
      </c>
      <c r="BC951" s="9" t="e">
        <f>IF(EFB!$N951=Table1[[#This Row],[ProgramTitle]],"Yes","No")</f>
        <v>#VALUE!</v>
      </c>
      <c r="BD951" s="9" t="e">
        <f>IF(EFB!$S951=Table1[[#This Row],[SeriesEpisodeTitle]],"Yes","No")</f>
        <v>#VALUE!</v>
      </c>
      <c r="BE951" s="11">
        <f t="shared" si="49"/>
        <v>0</v>
      </c>
      <c r="BF951" s="11">
        <f t="shared" si="50"/>
        <v>0</v>
      </c>
      <c r="BH951" s="36"/>
    </row>
    <row r="952" spans="3:60" x14ac:dyDescent="0.25">
      <c r="C952" s="35"/>
      <c r="L952" s="39"/>
      <c r="BB952" s="9" t="str">
        <f t="shared" si="51"/>
        <v>Yes</v>
      </c>
      <c r="BC952" s="9" t="e">
        <f>IF(EFB!$N952=Table1[[#This Row],[ProgramTitle]],"Yes","No")</f>
        <v>#VALUE!</v>
      </c>
      <c r="BD952" s="9" t="e">
        <f>IF(EFB!$S952=Table1[[#This Row],[SeriesEpisodeTitle]],"Yes","No")</f>
        <v>#VALUE!</v>
      </c>
      <c r="BE952" s="11">
        <f t="shared" si="49"/>
        <v>0</v>
      </c>
      <c r="BF952" s="11">
        <f t="shared" si="50"/>
        <v>0</v>
      </c>
      <c r="BH952" s="36"/>
    </row>
    <row r="953" spans="3:60" x14ac:dyDescent="0.25">
      <c r="C953" s="35"/>
      <c r="G953" s="38"/>
      <c r="H953" s="38"/>
      <c r="I953" s="38"/>
      <c r="J953" s="38"/>
      <c r="K953" s="38"/>
      <c r="L953" s="39"/>
      <c r="M953" s="38"/>
      <c r="N953" s="38"/>
      <c r="O953" s="38"/>
      <c r="P953" s="38"/>
      <c r="Q953" s="38"/>
      <c r="R953" s="38"/>
      <c r="S953" s="38"/>
      <c r="BB953" s="9" t="str">
        <f t="shared" si="51"/>
        <v>Yes</v>
      </c>
      <c r="BC953" s="9" t="e">
        <f>IF(EFB!$N953=Table1[[#This Row],[ProgramTitle]],"Yes","No")</f>
        <v>#VALUE!</v>
      </c>
      <c r="BD953" s="9" t="e">
        <f>IF(EFB!$S953=Table1[[#This Row],[SeriesEpisodeTitle]],"Yes","No")</f>
        <v>#VALUE!</v>
      </c>
      <c r="BE953" s="11">
        <f t="shared" si="49"/>
        <v>0</v>
      </c>
      <c r="BF953" s="11">
        <f t="shared" si="50"/>
        <v>0</v>
      </c>
      <c r="BH953" s="36"/>
    </row>
    <row r="954" spans="3:60" x14ac:dyDescent="0.25">
      <c r="C954" s="35"/>
      <c r="L954" s="39"/>
      <c r="BB954" s="9" t="str">
        <f t="shared" si="51"/>
        <v>Yes</v>
      </c>
      <c r="BC954" s="9" t="e">
        <f>IF(EFB!$N954=Table1[[#This Row],[ProgramTitle]],"Yes","No")</f>
        <v>#VALUE!</v>
      </c>
      <c r="BD954" s="9" t="e">
        <f>IF(EFB!$S954=Table1[[#This Row],[SeriesEpisodeTitle]],"Yes","No")</f>
        <v>#VALUE!</v>
      </c>
      <c r="BE954" s="11">
        <f t="shared" si="49"/>
        <v>0</v>
      </c>
      <c r="BF954" s="11">
        <f t="shared" si="50"/>
        <v>0</v>
      </c>
      <c r="BH954" s="36"/>
    </row>
    <row r="955" spans="3:60" x14ac:dyDescent="0.25">
      <c r="C955" s="35"/>
      <c r="G955" s="38"/>
      <c r="H955" s="38"/>
      <c r="I955" s="38"/>
      <c r="J955" s="38"/>
      <c r="K955" s="38"/>
      <c r="L955" s="39"/>
      <c r="M955" s="38"/>
      <c r="N955" s="38"/>
      <c r="O955" s="38"/>
      <c r="P955" s="38"/>
      <c r="Q955" s="38"/>
      <c r="R955" s="38"/>
      <c r="S955" s="38"/>
      <c r="BB955" s="9" t="str">
        <f t="shared" si="51"/>
        <v>Yes</v>
      </c>
      <c r="BC955" s="9" t="e">
        <f>IF(EFB!$N955=Table1[[#This Row],[ProgramTitle]],"Yes","No")</f>
        <v>#VALUE!</v>
      </c>
      <c r="BD955" s="9" t="e">
        <f>IF(EFB!$S955=Table1[[#This Row],[SeriesEpisodeTitle]],"Yes","No")</f>
        <v>#VALUE!</v>
      </c>
      <c r="BE955" s="11">
        <f t="shared" si="49"/>
        <v>0</v>
      </c>
      <c r="BF955" s="11">
        <f t="shared" si="50"/>
        <v>0</v>
      </c>
      <c r="BH955" s="36"/>
    </row>
    <row r="956" spans="3:60" x14ac:dyDescent="0.25">
      <c r="C956" s="35"/>
      <c r="L956" s="39"/>
      <c r="BB956" s="9" t="str">
        <f t="shared" si="51"/>
        <v>Yes</v>
      </c>
      <c r="BC956" s="9" t="e">
        <f>IF(EFB!$N956=Table1[[#This Row],[ProgramTitle]],"Yes","No")</f>
        <v>#VALUE!</v>
      </c>
      <c r="BD956" s="9" t="e">
        <f>IF(EFB!$S956=Table1[[#This Row],[SeriesEpisodeTitle]],"Yes","No")</f>
        <v>#VALUE!</v>
      </c>
      <c r="BE956" s="11">
        <f t="shared" si="49"/>
        <v>0</v>
      </c>
      <c r="BF956" s="11">
        <f t="shared" si="50"/>
        <v>0</v>
      </c>
      <c r="BH956" s="36"/>
    </row>
    <row r="957" spans="3:60" x14ac:dyDescent="0.25">
      <c r="C957" s="35"/>
      <c r="G957" s="38"/>
      <c r="H957" s="38"/>
      <c r="I957" s="38"/>
      <c r="J957" s="38"/>
      <c r="K957" s="38"/>
      <c r="L957" s="39"/>
      <c r="M957" s="38"/>
      <c r="N957" s="38"/>
      <c r="O957" s="38"/>
      <c r="P957" s="38"/>
      <c r="Q957" s="38"/>
      <c r="R957" s="38"/>
      <c r="S957" s="38"/>
      <c r="BB957" s="9" t="str">
        <f t="shared" si="51"/>
        <v>Yes</v>
      </c>
      <c r="BC957" s="9" t="e">
        <f>IF(EFB!$N957=Table1[[#This Row],[ProgramTitle]],"Yes","No")</f>
        <v>#VALUE!</v>
      </c>
      <c r="BD957" s="9" t="e">
        <f>IF(EFB!$S957=Table1[[#This Row],[SeriesEpisodeTitle]],"Yes","No")</f>
        <v>#VALUE!</v>
      </c>
      <c r="BE957" s="11">
        <f t="shared" si="49"/>
        <v>0</v>
      </c>
      <c r="BF957" s="11">
        <f t="shared" si="50"/>
        <v>0</v>
      </c>
      <c r="BH957" s="36"/>
    </row>
    <row r="958" spans="3:60" x14ac:dyDescent="0.25">
      <c r="C958" s="35"/>
      <c r="L958" s="39"/>
      <c r="BB958" s="9" t="str">
        <f t="shared" si="51"/>
        <v>Yes</v>
      </c>
      <c r="BC958" s="9" t="e">
        <f>IF(EFB!$N958=Table1[[#This Row],[ProgramTitle]],"Yes","No")</f>
        <v>#VALUE!</v>
      </c>
      <c r="BD958" s="9" t="e">
        <f>IF(EFB!$S958=Table1[[#This Row],[SeriesEpisodeTitle]],"Yes","No")</f>
        <v>#VALUE!</v>
      </c>
      <c r="BE958" s="11">
        <f t="shared" si="49"/>
        <v>0</v>
      </c>
      <c r="BF958" s="11">
        <f t="shared" si="50"/>
        <v>0</v>
      </c>
      <c r="BH958" s="36"/>
    </row>
    <row r="959" spans="3:60" x14ac:dyDescent="0.25">
      <c r="C959" s="35"/>
      <c r="G959" s="38"/>
      <c r="H959" s="38"/>
      <c r="I959" s="38"/>
      <c r="J959" s="38"/>
      <c r="K959" s="38"/>
      <c r="L959" s="39"/>
      <c r="M959" s="38"/>
      <c r="N959" s="38"/>
      <c r="O959" s="38"/>
      <c r="P959" s="38"/>
      <c r="Q959" s="38"/>
      <c r="R959" s="38"/>
      <c r="S959" s="38"/>
      <c r="BB959" s="9" t="str">
        <f t="shared" si="51"/>
        <v>Yes</v>
      </c>
      <c r="BC959" s="9" t="e">
        <f>IF(EFB!$N959=Table1[[#This Row],[ProgramTitle]],"Yes","No")</f>
        <v>#VALUE!</v>
      </c>
      <c r="BD959" s="9" t="e">
        <f>IF(EFB!$S959=Table1[[#This Row],[SeriesEpisodeTitle]],"Yes","No")</f>
        <v>#VALUE!</v>
      </c>
      <c r="BE959" s="11">
        <f t="shared" si="49"/>
        <v>0</v>
      </c>
      <c r="BF959" s="11">
        <f t="shared" si="50"/>
        <v>0</v>
      </c>
      <c r="BH959" s="36"/>
    </row>
    <row r="960" spans="3:60" x14ac:dyDescent="0.25">
      <c r="C960" s="35"/>
      <c r="L960" s="39"/>
      <c r="BB960" s="9" t="str">
        <f t="shared" si="51"/>
        <v>Yes</v>
      </c>
      <c r="BC960" s="9" t="e">
        <f>IF(EFB!$N960=Table1[[#This Row],[ProgramTitle]],"Yes","No")</f>
        <v>#VALUE!</v>
      </c>
      <c r="BD960" s="9" t="e">
        <f>IF(EFB!$S960=Table1[[#This Row],[SeriesEpisodeTitle]],"Yes","No")</f>
        <v>#VALUE!</v>
      </c>
      <c r="BE960" s="11">
        <f t="shared" si="49"/>
        <v>0</v>
      </c>
      <c r="BF960" s="11">
        <f t="shared" si="50"/>
        <v>0</v>
      </c>
      <c r="BH960" s="36"/>
    </row>
    <row r="961" spans="3:60" x14ac:dyDescent="0.25">
      <c r="C961" s="35"/>
      <c r="G961" s="38"/>
      <c r="H961" s="38"/>
      <c r="I961" s="38"/>
      <c r="J961" s="38"/>
      <c r="K961" s="38"/>
      <c r="L961" s="39"/>
      <c r="M961" s="38"/>
      <c r="N961" s="38"/>
      <c r="O961" s="38"/>
      <c r="P961" s="38"/>
      <c r="Q961" s="38"/>
      <c r="R961" s="38"/>
      <c r="S961" s="38"/>
      <c r="BB961" s="9" t="str">
        <f t="shared" si="51"/>
        <v>Yes</v>
      </c>
      <c r="BC961" s="9" t="e">
        <f>IF(EFB!$N961=Table1[[#This Row],[ProgramTitle]],"Yes","No")</f>
        <v>#VALUE!</v>
      </c>
      <c r="BD961" s="9" t="e">
        <f>IF(EFB!$S961=Table1[[#This Row],[SeriesEpisodeTitle]],"Yes","No")</f>
        <v>#VALUE!</v>
      </c>
      <c r="BE961" s="11">
        <f t="shared" si="49"/>
        <v>0</v>
      </c>
      <c r="BF961" s="11">
        <f t="shared" si="50"/>
        <v>0</v>
      </c>
      <c r="BH961" s="36"/>
    </row>
    <row r="962" spans="3:60" x14ac:dyDescent="0.25">
      <c r="C962" s="35"/>
      <c r="L962" s="39"/>
      <c r="BB962" s="9" t="str">
        <f t="shared" si="51"/>
        <v>Yes</v>
      </c>
      <c r="BC962" s="9" t="e">
        <f>IF(EFB!$N962=Table1[[#This Row],[ProgramTitle]],"Yes","No")</f>
        <v>#VALUE!</v>
      </c>
      <c r="BD962" s="9" t="e">
        <f>IF(EFB!$S962=Table1[[#This Row],[SeriesEpisodeTitle]],"Yes","No")</f>
        <v>#VALUE!</v>
      </c>
      <c r="BE962" s="11">
        <f t="shared" si="49"/>
        <v>0</v>
      </c>
      <c r="BF962" s="11">
        <f t="shared" si="50"/>
        <v>0</v>
      </c>
      <c r="BH962" s="36"/>
    </row>
    <row r="963" spans="3:60" x14ac:dyDescent="0.25">
      <c r="C963" s="35"/>
      <c r="G963" s="38"/>
      <c r="H963" s="38"/>
      <c r="I963" s="38"/>
      <c r="J963" s="38"/>
      <c r="K963" s="38"/>
      <c r="L963" s="39"/>
      <c r="M963" s="38"/>
      <c r="N963" s="38"/>
      <c r="O963" s="38"/>
      <c r="P963" s="38"/>
      <c r="Q963" s="38"/>
      <c r="R963" s="38"/>
      <c r="S963" s="38"/>
      <c r="BB963" s="9" t="str">
        <f t="shared" si="51"/>
        <v>Yes</v>
      </c>
      <c r="BC963" s="9" t="e">
        <f>IF(EFB!$N963=Table1[[#This Row],[ProgramTitle]],"Yes","No")</f>
        <v>#VALUE!</v>
      </c>
      <c r="BD963" s="9" t="e">
        <f>IF(EFB!$S963=Table1[[#This Row],[SeriesEpisodeTitle]],"Yes","No")</f>
        <v>#VALUE!</v>
      </c>
      <c r="BE963" s="11">
        <f t="shared" ref="BE963:BE1026" si="52">TIME(HOUR(C963),MINUTE(C963),SECOND(0))</f>
        <v>0</v>
      </c>
      <c r="BF963" s="11">
        <f t="shared" ref="BF963:BF1026" si="53">TIME(HOUR(L963),MINUTE(L963),SECOND(0))</f>
        <v>0</v>
      </c>
      <c r="BH963" s="36"/>
    </row>
    <row r="964" spans="3:60" x14ac:dyDescent="0.25">
      <c r="C964" s="35"/>
      <c r="L964" s="39"/>
      <c r="BB964" s="9" t="str">
        <f t="shared" si="51"/>
        <v>Yes</v>
      </c>
      <c r="BC964" s="9" t="e">
        <f>IF(EFB!$N964=Table1[[#This Row],[ProgramTitle]],"Yes","No")</f>
        <v>#VALUE!</v>
      </c>
      <c r="BD964" s="9" t="e">
        <f>IF(EFB!$S964=Table1[[#This Row],[SeriesEpisodeTitle]],"Yes","No")</f>
        <v>#VALUE!</v>
      </c>
      <c r="BE964" s="11">
        <f t="shared" si="52"/>
        <v>0</v>
      </c>
      <c r="BF964" s="11">
        <f t="shared" si="53"/>
        <v>0</v>
      </c>
      <c r="BH964" s="36"/>
    </row>
    <row r="965" spans="3:60" x14ac:dyDescent="0.25">
      <c r="C965" s="35"/>
      <c r="G965" s="38"/>
      <c r="H965" s="38"/>
      <c r="I965" s="38"/>
      <c r="J965" s="38"/>
      <c r="K965" s="38"/>
      <c r="L965" s="39"/>
      <c r="M965" s="38"/>
      <c r="N965" s="38"/>
      <c r="O965" s="38"/>
      <c r="P965" s="38"/>
      <c r="Q965" s="38"/>
      <c r="R965" s="38"/>
      <c r="S965" s="38"/>
      <c r="BB965" s="9" t="str">
        <f t="shared" si="51"/>
        <v>Yes</v>
      </c>
      <c r="BC965" s="9" t="e">
        <f>IF(EFB!$N965=Table1[[#This Row],[ProgramTitle]],"Yes","No")</f>
        <v>#VALUE!</v>
      </c>
      <c r="BD965" s="9" t="e">
        <f>IF(EFB!$S965=Table1[[#This Row],[SeriesEpisodeTitle]],"Yes","No")</f>
        <v>#VALUE!</v>
      </c>
      <c r="BE965" s="11">
        <f t="shared" si="52"/>
        <v>0</v>
      </c>
      <c r="BF965" s="11">
        <f t="shared" si="53"/>
        <v>0</v>
      </c>
      <c r="BH965" s="36"/>
    </row>
    <row r="966" spans="3:60" x14ac:dyDescent="0.25">
      <c r="C966" s="35"/>
      <c r="L966" s="39"/>
      <c r="BB966" s="9" t="str">
        <f t="shared" si="51"/>
        <v>Yes</v>
      </c>
      <c r="BC966" s="9" t="e">
        <f>IF(EFB!$N966=Table1[[#This Row],[ProgramTitle]],"Yes","No")</f>
        <v>#VALUE!</v>
      </c>
      <c r="BD966" s="9" t="e">
        <f>IF(EFB!$S966=Table1[[#This Row],[SeriesEpisodeTitle]],"Yes","No")</f>
        <v>#VALUE!</v>
      </c>
      <c r="BE966" s="11">
        <f t="shared" si="52"/>
        <v>0</v>
      </c>
      <c r="BF966" s="11">
        <f t="shared" si="53"/>
        <v>0</v>
      </c>
      <c r="BH966" s="36"/>
    </row>
    <row r="967" spans="3:60" x14ac:dyDescent="0.25">
      <c r="C967" s="35"/>
      <c r="G967" s="38"/>
      <c r="H967" s="38"/>
      <c r="I967" s="38"/>
      <c r="J967" s="38"/>
      <c r="K967" s="38"/>
      <c r="L967" s="39"/>
      <c r="M967" s="38"/>
      <c r="N967" s="38"/>
      <c r="O967" s="38"/>
      <c r="P967" s="38"/>
      <c r="Q967" s="38"/>
      <c r="R967" s="38"/>
      <c r="S967" s="38"/>
      <c r="BB967" s="9" t="str">
        <f t="shared" si="51"/>
        <v>Yes</v>
      </c>
      <c r="BC967" s="9" t="e">
        <f>IF(EFB!$N967=Table1[[#This Row],[ProgramTitle]],"Yes","No")</f>
        <v>#VALUE!</v>
      </c>
      <c r="BD967" s="9" t="e">
        <f>IF(EFB!$S967=Table1[[#This Row],[SeriesEpisodeTitle]],"Yes","No")</f>
        <v>#VALUE!</v>
      </c>
      <c r="BE967" s="11">
        <f t="shared" si="52"/>
        <v>0</v>
      </c>
      <c r="BF967" s="11">
        <f t="shared" si="53"/>
        <v>0</v>
      </c>
      <c r="BH967" s="36"/>
    </row>
    <row r="968" spans="3:60" x14ac:dyDescent="0.25">
      <c r="C968" s="35"/>
      <c r="L968" s="39"/>
      <c r="BB968" s="9" t="str">
        <f t="shared" si="51"/>
        <v>Yes</v>
      </c>
      <c r="BC968" s="9" t="e">
        <f>IF(EFB!$N968=Table1[[#This Row],[ProgramTitle]],"Yes","No")</f>
        <v>#VALUE!</v>
      </c>
      <c r="BD968" s="9" t="e">
        <f>IF(EFB!$S968=Table1[[#This Row],[SeriesEpisodeTitle]],"Yes","No")</f>
        <v>#VALUE!</v>
      </c>
      <c r="BE968" s="11">
        <f t="shared" si="52"/>
        <v>0</v>
      </c>
      <c r="BF968" s="11">
        <f t="shared" si="53"/>
        <v>0</v>
      </c>
      <c r="BH968" s="36"/>
    </row>
    <row r="969" spans="3:60" x14ac:dyDescent="0.25">
      <c r="C969" s="35"/>
      <c r="G969" s="38"/>
      <c r="H969" s="38"/>
      <c r="I969" s="38"/>
      <c r="J969" s="38"/>
      <c r="K969" s="38"/>
      <c r="L969" s="39"/>
      <c r="M969" s="38"/>
      <c r="N969" s="38"/>
      <c r="O969" s="38"/>
      <c r="P969" s="38"/>
      <c r="Q969" s="38"/>
      <c r="R969" s="38"/>
      <c r="S969" s="38"/>
      <c r="BB969" s="9" t="str">
        <f t="shared" si="51"/>
        <v>Yes</v>
      </c>
      <c r="BC969" s="9" t="e">
        <f>IF(EFB!$N969=Table1[[#This Row],[ProgramTitle]],"Yes","No")</f>
        <v>#VALUE!</v>
      </c>
      <c r="BD969" s="9" t="e">
        <f>IF(EFB!$S969=Table1[[#This Row],[SeriesEpisodeTitle]],"Yes","No")</f>
        <v>#VALUE!</v>
      </c>
      <c r="BE969" s="11">
        <f t="shared" si="52"/>
        <v>0</v>
      </c>
      <c r="BF969" s="11">
        <f t="shared" si="53"/>
        <v>0</v>
      </c>
      <c r="BH969" s="36"/>
    </row>
    <row r="970" spans="3:60" x14ac:dyDescent="0.25">
      <c r="C970" s="35"/>
      <c r="L970" s="39"/>
      <c r="BB970" s="9" t="str">
        <f t="shared" si="51"/>
        <v>Yes</v>
      </c>
      <c r="BC970" s="9" t="e">
        <f>IF(EFB!$N970=Table1[[#This Row],[ProgramTitle]],"Yes","No")</f>
        <v>#VALUE!</v>
      </c>
      <c r="BD970" s="9" t="e">
        <f>IF(EFB!$S970=Table1[[#This Row],[SeriesEpisodeTitle]],"Yes","No")</f>
        <v>#VALUE!</v>
      </c>
      <c r="BE970" s="11">
        <f t="shared" si="52"/>
        <v>0</v>
      </c>
      <c r="BF970" s="11">
        <f t="shared" si="53"/>
        <v>0</v>
      </c>
      <c r="BH970" s="36"/>
    </row>
    <row r="971" spans="3:60" x14ac:dyDescent="0.25">
      <c r="C971" s="35"/>
      <c r="G971" s="38"/>
      <c r="H971" s="38"/>
      <c r="I971" s="38"/>
      <c r="J971" s="38"/>
      <c r="K971" s="38"/>
      <c r="L971" s="39"/>
      <c r="M971" s="38"/>
      <c r="N971" s="38"/>
      <c r="O971" s="38"/>
      <c r="P971" s="38"/>
      <c r="Q971" s="38"/>
      <c r="R971" s="38"/>
      <c r="S971" s="38"/>
      <c r="BB971" s="9" t="str">
        <f t="shared" si="51"/>
        <v>Yes</v>
      </c>
      <c r="BC971" s="9" t="e">
        <f>IF(EFB!$N971=Table1[[#This Row],[ProgramTitle]],"Yes","No")</f>
        <v>#VALUE!</v>
      </c>
      <c r="BD971" s="9" t="e">
        <f>IF(EFB!$S971=Table1[[#This Row],[SeriesEpisodeTitle]],"Yes","No")</f>
        <v>#VALUE!</v>
      </c>
      <c r="BE971" s="11">
        <f t="shared" si="52"/>
        <v>0</v>
      </c>
      <c r="BF971" s="11">
        <f t="shared" si="53"/>
        <v>0</v>
      </c>
      <c r="BH971" s="36"/>
    </row>
    <row r="972" spans="3:60" x14ac:dyDescent="0.25">
      <c r="C972" s="35"/>
      <c r="L972" s="39"/>
      <c r="BB972" s="9" t="str">
        <f t="shared" si="51"/>
        <v>Yes</v>
      </c>
      <c r="BC972" s="9" t="e">
        <f>IF(EFB!$N972=Table1[[#This Row],[ProgramTitle]],"Yes","No")</f>
        <v>#VALUE!</v>
      </c>
      <c r="BD972" s="9" t="e">
        <f>IF(EFB!$S972=Table1[[#This Row],[SeriesEpisodeTitle]],"Yes","No")</f>
        <v>#VALUE!</v>
      </c>
      <c r="BE972" s="11">
        <f t="shared" si="52"/>
        <v>0</v>
      </c>
      <c r="BF972" s="11">
        <f t="shared" si="53"/>
        <v>0</v>
      </c>
      <c r="BH972" s="36"/>
    </row>
    <row r="973" spans="3:60" x14ac:dyDescent="0.25">
      <c r="C973" s="35"/>
      <c r="G973" s="38"/>
      <c r="H973" s="38"/>
      <c r="I973" s="38"/>
      <c r="J973" s="38"/>
      <c r="K973" s="38"/>
      <c r="L973" s="39"/>
      <c r="M973" s="38"/>
      <c r="N973" s="38"/>
      <c r="O973" s="38"/>
      <c r="P973" s="38"/>
      <c r="Q973" s="38"/>
      <c r="R973" s="38"/>
      <c r="S973" s="38"/>
      <c r="BB973" s="9" t="str">
        <f t="shared" si="51"/>
        <v>Yes</v>
      </c>
      <c r="BC973" s="9" t="e">
        <f>IF(EFB!$N973=Table1[[#This Row],[ProgramTitle]],"Yes","No")</f>
        <v>#VALUE!</v>
      </c>
      <c r="BD973" s="9" t="e">
        <f>IF(EFB!$S973=Table1[[#This Row],[SeriesEpisodeTitle]],"Yes","No")</f>
        <v>#VALUE!</v>
      </c>
      <c r="BE973" s="11">
        <f t="shared" si="52"/>
        <v>0</v>
      </c>
      <c r="BF973" s="11">
        <f t="shared" si="53"/>
        <v>0</v>
      </c>
      <c r="BH973" s="36"/>
    </row>
    <row r="974" spans="3:60" x14ac:dyDescent="0.25">
      <c r="C974" s="35"/>
      <c r="L974" s="39"/>
      <c r="BB974" s="9" t="str">
        <f t="shared" si="51"/>
        <v>Yes</v>
      </c>
      <c r="BC974" s="9" t="e">
        <f>IF(EFB!$N974=Table1[[#This Row],[ProgramTitle]],"Yes","No")</f>
        <v>#VALUE!</v>
      </c>
      <c r="BD974" s="9" t="e">
        <f>IF(EFB!$S974=Table1[[#This Row],[SeriesEpisodeTitle]],"Yes","No")</f>
        <v>#VALUE!</v>
      </c>
      <c r="BE974" s="11">
        <f t="shared" si="52"/>
        <v>0</v>
      </c>
      <c r="BF974" s="11">
        <f t="shared" si="53"/>
        <v>0</v>
      </c>
      <c r="BH974" s="36"/>
    </row>
    <row r="975" spans="3:60" x14ac:dyDescent="0.25">
      <c r="C975" s="35"/>
      <c r="G975" s="38"/>
      <c r="H975" s="38"/>
      <c r="I975" s="38"/>
      <c r="J975" s="38"/>
      <c r="K975" s="38"/>
      <c r="L975" s="39"/>
      <c r="M975" s="38"/>
      <c r="N975" s="38"/>
      <c r="O975" s="38"/>
      <c r="P975" s="38"/>
      <c r="Q975" s="38"/>
      <c r="R975" s="38"/>
      <c r="S975" s="38"/>
      <c r="BB975" s="9" t="str">
        <f t="shared" si="51"/>
        <v>Yes</v>
      </c>
      <c r="BC975" s="9" t="e">
        <f>IF(EFB!$N975=Table1[[#This Row],[ProgramTitle]],"Yes","No")</f>
        <v>#VALUE!</v>
      </c>
      <c r="BD975" s="9" t="e">
        <f>IF(EFB!$S975=Table1[[#This Row],[SeriesEpisodeTitle]],"Yes","No")</f>
        <v>#VALUE!</v>
      </c>
      <c r="BE975" s="11">
        <f t="shared" si="52"/>
        <v>0</v>
      </c>
      <c r="BF975" s="11">
        <f t="shared" si="53"/>
        <v>0</v>
      </c>
      <c r="BH975" s="36"/>
    </row>
    <row r="976" spans="3:60" x14ac:dyDescent="0.25">
      <c r="C976" s="35"/>
      <c r="L976" s="39"/>
      <c r="BB976" s="9" t="str">
        <f t="shared" si="51"/>
        <v>Yes</v>
      </c>
      <c r="BC976" s="9" t="e">
        <f>IF(EFB!$N976=Table1[[#This Row],[ProgramTitle]],"Yes","No")</f>
        <v>#VALUE!</v>
      </c>
      <c r="BD976" s="9" t="e">
        <f>IF(EFB!$S976=Table1[[#This Row],[SeriesEpisodeTitle]],"Yes","No")</f>
        <v>#VALUE!</v>
      </c>
      <c r="BE976" s="11">
        <f t="shared" si="52"/>
        <v>0</v>
      </c>
      <c r="BF976" s="11">
        <f t="shared" si="53"/>
        <v>0</v>
      </c>
      <c r="BH976" s="36"/>
    </row>
    <row r="977" spans="3:60" x14ac:dyDescent="0.25">
      <c r="C977" s="35"/>
      <c r="G977" s="38"/>
      <c r="H977" s="38"/>
      <c r="I977" s="38"/>
      <c r="J977" s="38"/>
      <c r="K977" s="38"/>
      <c r="L977" s="39"/>
      <c r="M977" s="38"/>
      <c r="N977" s="38"/>
      <c r="O977" s="38"/>
      <c r="P977" s="38"/>
      <c r="Q977" s="38"/>
      <c r="R977" s="38"/>
      <c r="S977" s="38"/>
      <c r="BB977" s="9" t="str">
        <f t="shared" si="51"/>
        <v>Yes</v>
      </c>
      <c r="BC977" s="9" t="e">
        <f>IF(EFB!$N977=Table1[[#This Row],[ProgramTitle]],"Yes","No")</f>
        <v>#VALUE!</v>
      </c>
      <c r="BD977" s="9" t="e">
        <f>IF(EFB!$S977=Table1[[#This Row],[SeriesEpisodeTitle]],"Yes","No")</f>
        <v>#VALUE!</v>
      </c>
      <c r="BE977" s="11">
        <f t="shared" si="52"/>
        <v>0</v>
      </c>
      <c r="BF977" s="11">
        <f t="shared" si="53"/>
        <v>0</v>
      </c>
      <c r="BH977" s="36"/>
    </row>
    <row r="978" spans="3:60" x14ac:dyDescent="0.25">
      <c r="C978" s="35"/>
      <c r="L978" s="39"/>
      <c r="BB978" s="9" t="str">
        <f t="shared" si="51"/>
        <v>Yes</v>
      </c>
      <c r="BC978" s="9" t="e">
        <f>IF(EFB!$N978=Table1[[#This Row],[ProgramTitle]],"Yes","No")</f>
        <v>#VALUE!</v>
      </c>
      <c r="BD978" s="9" t="e">
        <f>IF(EFB!$S978=Table1[[#This Row],[SeriesEpisodeTitle]],"Yes","No")</f>
        <v>#VALUE!</v>
      </c>
      <c r="BE978" s="11">
        <f t="shared" si="52"/>
        <v>0</v>
      </c>
      <c r="BF978" s="11">
        <f t="shared" si="53"/>
        <v>0</v>
      </c>
      <c r="BH978" s="36"/>
    </row>
    <row r="979" spans="3:60" x14ac:dyDescent="0.25">
      <c r="C979" s="35"/>
      <c r="G979" s="38"/>
      <c r="H979" s="38"/>
      <c r="I979" s="38"/>
      <c r="J979" s="38"/>
      <c r="K979" s="38"/>
      <c r="L979" s="39"/>
      <c r="M979" s="38"/>
      <c r="N979" s="38"/>
      <c r="O979" s="38"/>
      <c r="P979" s="38"/>
      <c r="Q979" s="38"/>
      <c r="R979" s="38"/>
      <c r="S979" s="38"/>
      <c r="BB979" s="9" t="str">
        <f t="shared" si="51"/>
        <v>Yes</v>
      </c>
      <c r="BC979" s="9" t="e">
        <f>IF(EFB!$N979=Table1[[#This Row],[ProgramTitle]],"Yes","No")</f>
        <v>#VALUE!</v>
      </c>
      <c r="BD979" s="9" t="e">
        <f>IF(EFB!$S979=Table1[[#This Row],[SeriesEpisodeTitle]],"Yes","No")</f>
        <v>#VALUE!</v>
      </c>
      <c r="BE979" s="11">
        <f t="shared" si="52"/>
        <v>0</v>
      </c>
      <c r="BF979" s="11">
        <f t="shared" si="53"/>
        <v>0</v>
      </c>
      <c r="BH979" s="36"/>
    </row>
    <row r="980" spans="3:60" x14ac:dyDescent="0.25">
      <c r="C980" s="35"/>
      <c r="L980" s="39"/>
      <c r="BB980" s="9" t="str">
        <f t="shared" si="51"/>
        <v>Yes</v>
      </c>
      <c r="BC980" s="9" t="e">
        <f>IF(EFB!$N980=Table1[[#This Row],[ProgramTitle]],"Yes","No")</f>
        <v>#VALUE!</v>
      </c>
      <c r="BD980" s="9" t="e">
        <f>IF(EFB!$S980=Table1[[#This Row],[SeriesEpisodeTitle]],"Yes","No")</f>
        <v>#VALUE!</v>
      </c>
      <c r="BE980" s="11">
        <f t="shared" si="52"/>
        <v>0</v>
      </c>
      <c r="BF980" s="11">
        <f t="shared" si="53"/>
        <v>0</v>
      </c>
      <c r="BH980" s="36"/>
    </row>
    <row r="981" spans="3:60" x14ac:dyDescent="0.25">
      <c r="C981" s="35"/>
      <c r="G981" s="38"/>
      <c r="H981" s="38"/>
      <c r="I981" s="38"/>
      <c r="J981" s="38"/>
      <c r="K981" s="38"/>
      <c r="L981" s="39"/>
      <c r="M981" s="38"/>
      <c r="N981" s="38"/>
      <c r="O981" s="38"/>
      <c r="P981" s="38"/>
      <c r="Q981" s="38"/>
      <c r="R981" s="38"/>
      <c r="S981" s="38"/>
      <c r="BB981" s="9" t="str">
        <f t="shared" si="51"/>
        <v>Yes</v>
      </c>
      <c r="BC981" s="9" t="e">
        <f>IF(EFB!$N981=Table1[[#This Row],[ProgramTitle]],"Yes","No")</f>
        <v>#VALUE!</v>
      </c>
      <c r="BD981" s="9" t="e">
        <f>IF(EFB!$S981=Table1[[#This Row],[SeriesEpisodeTitle]],"Yes","No")</f>
        <v>#VALUE!</v>
      </c>
      <c r="BE981" s="11">
        <f t="shared" si="52"/>
        <v>0</v>
      </c>
      <c r="BF981" s="11">
        <f t="shared" si="53"/>
        <v>0</v>
      </c>
      <c r="BH981" s="36"/>
    </row>
    <row r="982" spans="3:60" x14ac:dyDescent="0.25">
      <c r="C982" s="35"/>
      <c r="L982" s="39"/>
      <c r="BB982" s="9" t="str">
        <f t="shared" si="51"/>
        <v>Yes</v>
      </c>
      <c r="BC982" s="9" t="e">
        <f>IF(EFB!$N982=Table1[[#This Row],[ProgramTitle]],"Yes","No")</f>
        <v>#VALUE!</v>
      </c>
      <c r="BD982" s="9" t="e">
        <f>IF(EFB!$S982=Table1[[#This Row],[SeriesEpisodeTitle]],"Yes","No")</f>
        <v>#VALUE!</v>
      </c>
      <c r="BE982" s="11">
        <f t="shared" si="52"/>
        <v>0</v>
      </c>
      <c r="BF982" s="11">
        <f t="shared" si="53"/>
        <v>0</v>
      </c>
      <c r="BH982" s="36"/>
    </row>
    <row r="983" spans="3:60" x14ac:dyDescent="0.25">
      <c r="C983" s="35"/>
      <c r="G983" s="38"/>
      <c r="H983" s="38"/>
      <c r="I983" s="38"/>
      <c r="J983" s="38"/>
      <c r="K983" s="38"/>
      <c r="L983" s="39"/>
      <c r="M983" s="38"/>
      <c r="N983" s="38"/>
      <c r="O983" s="38"/>
      <c r="P983" s="38"/>
      <c r="Q983" s="38"/>
      <c r="R983" s="38"/>
      <c r="S983" s="38"/>
      <c r="BB983" s="9" t="str">
        <f t="shared" si="51"/>
        <v>Yes</v>
      </c>
      <c r="BC983" s="9" t="e">
        <f>IF(EFB!$N983=Table1[[#This Row],[ProgramTitle]],"Yes","No")</f>
        <v>#VALUE!</v>
      </c>
      <c r="BD983" s="9" t="e">
        <f>IF(EFB!$S983=Table1[[#This Row],[SeriesEpisodeTitle]],"Yes","No")</f>
        <v>#VALUE!</v>
      </c>
      <c r="BE983" s="11">
        <f t="shared" si="52"/>
        <v>0</v>
      </c>
      <c r="BF983" s="11">
        <f t="shared" si="53"/>
        <v>0</v>
      </c>
      <c r="BH983" s="36"/>
    </row>
    <row r="984" spans="3:60" x14ac:dyDescent="0.25">
      <c r="C984" s="35"/>
      <c r="L984" s="39"/>
      <c r="BB984" s="9" t="str">
        <f t="shared" si="51"/>
        <v>Yes</v>
      </c>
      <c r="BC984" s="9" t="e">
        <f>IF(EFB!$N984=Table1[[#This Row],[ProgramTitle]],"Yes","No")</f>
        <v>#VALUE!</v>
      </c>
      <c r="BD984" s="9" t="e">
        <f>IF(EFB!$S984=Table1[[#This Row],[SeriesEpisodeTitle]],"Yes","No")</f>
        <v>#VALUE!</v>
      </c>
      <c r="BE984" s="11">
        <f t="shared" si="52"/>
        <v>0</v>
      </c>
      <c r="BF984" s="11">
        <f t="shared" si="53"/>
        <v>0</v>
      </c>
      <c r="BH984" s="36"/>
    </row>
    <row r="985" spans="3:60" x14ac:dyDescent="0.25">
      <c r="C985" s="35"/>
      <c r="G985" s="38"/>
      <c r="H985" s="38"/>
      <c r="I985" s="38"/>
      <c r="J985" s="38"/>
      <c r="K985" s="38"/>
      <c r="L985" s="39"/>
      <c r="M985" s="38"/>
      <c r="N985" s="38"/>
      <c r="O985" s="38"/>
      <c r="P985" s="38"/>
      <c r="Q985" s="38"/>
      <c r="R985" s="38"/>
      <c r="S985" s="38"/>
      <c r="BB985" s="9" t="str">
        <f t="shared" si="51"/>
        <v>Yes</v>
      </c>
      <c r="BC985" s="9" t="e">
        <f>IF(EFB!$N985=Table1[[#This Row],[ProgramTitle]],"Yes","No")</f>
        <v>#VALUE!</v>
      </c>
      <c r="BD985" s="9" t="e">
        <f>IF(EFB!$S985=Table1[[#This Row],[SeriesEpisodeTitle]],"Yes","No")</f>
        <v>#VALUE!</v>
      </c>
      <c r="BE985" s="11">
        <f t="shared" si="52"/>
        <v>0</v>
      </c>
      <c r="BF985" s="11">
        <f t="shared" si="53"/>
        <v>0</v>
      </c>
      <c r="BH985" s="36"/>
    </row>
    <row r="986" spans="3:60" x14ac:dyDescent="0.25">
      <c r="C986" s="35"/>
      <c r="L986" s="39"/>
      <c r="BB986" s="9" t="str">
        <f t="shared" si="51"/>
        <v>Yes</v>
      </c>
      <c r="BC986" s="9" t="e">
        <f>IF(EFB!$N986=Table1[[#This Row],[ProgramTitle]],"Yes","No")</f>
        <v>#VALUE!</v>
      </c>
      <c r="BD986" s="9" t="e">
        <f>IF(EFB!$S986=Table1[[#This Row],[SeriesEpisodeTitle]],"Yes","No")</f>
        <v>#VALUE!</v>
      </c>
      <c r="BE986" s="11">
        <f t="shared" si="52"/>
        <v>0</v>
      </c>
      <c r="BF986" s="11">
        <f t="shared" si="53"/>
        <v>0</v>
      </c>
      <c r="BH986" s="36"/>
    </row>
    <row r="987" spans="3:60" x14ac:dyDescent="0.25">
      <c r="C987" s="35"/>
      <c r="G987" s="38"/>
      <c r="H987" s="38"/>
      <c r="I987" s="38"/>
      <c r="J987" s="38"/>
      <c r="K987" s="38"/>
      <c r="L987" s="39"/>
      <c r="M987" s="38"/>
      <c r="N987" s="38"/>
      <c r="O987" s="38"/>
      <c r="P987" s="38"/>
      <c r="Q987" s="38"/>
      <c r="R987" s="38"/>
      <c r="S987" s="38"/>
      <c r="BB987" s="9" t="str">
        <f t="shared" si="51"/>
        <v>Yes</v>
      </c>
      <c r="BC987" s="9" t="e">
        <f>IF(EFB!$N987=Table1[[#This Row],[ProgramTitle]],"Yes","No")</f>
        <v>#VALUE!</v>
      </c>
      <c r="BD987" s="9" t="e">
        <f>IF(EFB!$S987=Table1[[#This Row],[SeriesEpisodeTitle]],"Yes","No")</f>
        <v>#VALUE!</v>
      </c>
      <c r="BE987" s="11">
        <f t="shared" si="52"/>
        <v>0</v>
      </c>
      <c r="BF987" s="11">
        <f t="shared" si="53"/>
        <v>0</v>
      </c>
      <c r="BH987" s="36"/>
    </row>
    <row r="988" spans="3:60" x14ac:dyDescent="0.25">
      <c r="C988" s="35"/>
      <c r="L988" s="39"/>
      <c r="BB988" s="9" t="str">
        <f t="shared" si="51"/>
        <v>Yes</v>
      </c>
      <c r="BC988" s="9" t="e">
        <f>IF(EFB!$N988=Table1[[#This Row],[ProgramTitle]],"Yes","No")</f>
        <v>#VALUE!</v>
      </c>
      <c r="BD988" s="9" t="e">
        <f>IF(EFB!$S988=Table1[[#This Row],[SeriesEpisodeTitle]],"Yes","No")</f>
        <v>#VALUE!</v>
      </c>
      <c r="BE988" s="11">
        <f t="shared" si="52"/>
        <v>0</v>
      </c>
      <c r="BF988" s="11">
        <f t="shared" si="53"/>
        <v>0</v>
      </c>
      <c r="BH988" s="36"/>
    </row>
    <row r="989" spans="3:60" x14ac:dyDescent="0.25">
      <c r="C989" s="35"/>
      <c r="G989" s="38"/>
      <c r="H989" s="38"/>
      <c r="I989" s="38"/>
      <c r="J989" s="38"/>
      <c r="K989" s="38"/>
      <c r="L989" s="39"/>
      <c r="M989" s="38"/>
      <c r="N989" s="38"/>
      <c r="O989" s="38"/>
      <c r="P989" s="38"/>
      <c r="Q989" s="38"/>
      <c r="R989" s="38"/>
      <c r="S989" s="38"/>
      <c r="BB989" s="9" t="str">
        <f t="shared" si="51"/>
        <v>Yes</v>
      </c>
      <c r="BC989" s="9" t="e">
        <f>IF(EFB!$N989=Table1[[#This Row],[ProgramTitle]],"Yes","No")</f>
        <v>#VALUE!</v>
      </c>
      <c r="BD989" s="9" t="e">
        <f>IF(EFB!$S989=Table1[[#This Row],[SeriesEpisodeTitle]],"Yes","No")</f>
        <v>#VALUE!</v>
      </c>
      <c r="BE989" s="11">
        <f t="shared" si="52"/>
        <v>0</v>
      </c>
      <c r="BF989" s="11">
        <f t="shared" si="53"/>
        <v>0</v>
      </c>
      <c r="BH989" s="36"/>
    </row>
    <row r="990" spans="3:60" x14ac:dyDescent="0.25">
      <c r="C990" s="35"/>
      <c r="L990" s="39"/>
      <c r="BB990" s="9" t="str">
        <f t="shared" si="51"/>
        <v>Yes</v>
      </c>
      <c r="BC990" s="9" t="e">
        <f>IF(EFB!$N990=Table1[[#This Row],[ProgramTitle]],"Yes","No")</f>
        <v>#VALUE!</v>
      </c>
      <c r="BD990" s="9" t="e">
        <f>IF(EFB!$S990=Table1[[#This Row],[SeriesEpisodeTitle]],"Yes","No")</f>
        <v>#VALUE!</v>
      </c>
      <c r="BE990" s="11">
        <f t="shared" si="52"/>
        <v>0</v>
      </c>
      <c r="BF990" s="11">
        <f t="shared" si="53"/>
        <v>0</v>
      </c>
      <c r="BH990" s="36"/>
    </row>
    <row r="991" spans="3:60" x14ac:dyDescent="0.25">
      <c r="C991" s="35"/>
      <c r="G991" s="38"/>
      <c r="H991" s="38"/>
      <c r="I991" s="38"/>
      <c r="J991" s="38"/>
      <c r="K991" s="38"/>
      <c r="L991" s="39"/>
      <c r="M991" s="38"/>
      <c r="N991" s="38"/>
      <c r="O991" s="38"/>
      <c r="P991" s="38"/>
      <c r="Q991" s="38"/>
      <c r="R991" s="38"/>
      <c r="S991" s="38"/>
      <c r="BB991" s="9" t="str">
        <f t="shared" si="51"/>
        <v>Yes</v>
      </c>
      <c r="BC991" s="9" t="e">
        <f>IF(EFB!$N991=Table1[[#This Row],[ProgramTitle]],"Yes","No")</f>
        <v>#VALUE!</v>
      </c>
      <c r="BD991" s="9" t="e">
        <f>IF(EFB!$S991=Table1[[#This Row],[SeriesEpisodeTitle]],"Yes","No")</f>
        <v>#VALUE!</v>
      </c>
      <c r="BE991" s="11">
        <f t="shared" si="52"/>
        <v>0</v>
      </c>
      <c r="BF991" s="11">
        <f t="shared" si="53"/>
        <v>0</v>
      </c>
      <c r="BH991" s="36"/>
    </row>
    <row r="992" spans="3:60" x14ac:dyDescent="0.25">
      <c r="C992" s="35"/>
      <c r="L992" s="39"/>
      <c r="BB992" s="9" t="str">
        <f t="shared" si="51"/>
        <v>Yes</v>
      </c>
      <c r="BC992" s="9" t="e">
        <f>IF(EFB!$N992=Table1[[#This Row],[ProgramTitle]],"Yes","No")</f>
        <v>#VALUE!</v>
      </c>
      <c r="BD992" s="9" t="e">
        <f>IF(EFB!$S992=Table1[[#This Row],[SeriesEpisodeTitle]],"Yes","No")</f>
        <v>#VALUE!</v>
      </c>
      <c r="BE992" s="11">
        <f t="shared" si="52"/>
        <v>0</v>
      </c>
      <c r="BF992" s="11">
        <f t="shared" si="53"/>
        <v>0</v>
      </c>
      <c r="BH992" s="36"/>
    </row>
    <row r="993" spans="3:60" x14ac:dyDescent="0.25">
      <c r="C993" s="35"/>
      <c r="G993" s="38"/>
      <c r="H993" s="38"/>
      <c r="I993" s="38"/>
      <c r="J993" s="38"/>
      <c r="K993" s="38"/>
      <c r="L993" s="39"/>
      <c r="M993" s="38"/>
      <c r="N993" s="38"/>
      <c r="O993" s="38"/>
      <c r="P993" s="38"/>
      <c r="Q993" s="38"/>
      <c r="R993" s="38"/>
      <c r="S993" s="38"/>
      <c r="BB993" s="9" t="str">
        <f t="shared" si="51"/>
        <v>Yes</v>
      </c>
      <c r="BC993" s="9" t="e">
        <f>IF(EFB!$N993=Table1[[#This Row],[ProgramTitle]],"Yes","No")</f>
        <v>#VALUE!</v>
      </c>
      <c r="BD993" s="9" t="e">
        <f>IF(EFB!$S993=Table1[[#This Row],[SeriesEpisodeTitle]],"Yes","No")</f>
        <v>#VALUE!</v>
      </c>
      <c r="BE993" s="11">
        <f t="shared" si="52"/>
        <v>0</v>
      </c>
      <c r="BF993" s="11">
        <f t="shared" si="53"/>
        <v>0</v>
      </c>
      <c r="BH993" s="36"/>
    </row>
    <row r="994" spans="3:60" x14ac:dyDescent="0.25">
      <c r="C994" s="35"/>
      <c r="L994" s="39"/>
      <c r="BB994" s="9" t="str">
        <f t="shared" si="51"/>
        <v>Yes</v>
      </c>
      <c r="BC994" s="9" t="e">
        <f>IF(EFB!$N994=Table1[[#This Row],[ProgramTitle]],"Yes","No")</f>
        <v>#VALUE!</v>
      </c>
      <c r="BD994" s="9" t="e">
        <f>IF(EFB!$S994=Table1[[#This Row],[SeriesEpisodeTitle]],"Yes","No")</f>
        <v>#VALUE!</v>
      </c>
      <c r="BE994" s="11">
        <f t="shared" si="52"/>
        <v>0</v>
      </c>
      <c r="BF994" s="11">
        <f t="shared" si="53"/>
        <v>0</v>
      </c>
      <c r="BH994" s="36"/>
    </row>
    <row r="995" spans="3:60" x14ac:dyDescent="0.25">
      <c r="C995" s="35"/>
      <c r="G995" s="38"/>
      <c r="H995" s="38"/>
      <c r="I995" s="38"/>
      <c r="J995" s="38"/>
      <c r="K995" s="38"/>
      <c r="L995" s="39"/>
      <c r="M995" s="38"/>
      <c r="N995" s="38"/>
      <c r="O995" s="38"/>
      <c r="P995" s="38"/>
      <c r="Q995" s="38"/>
      <c r="R995" s="38"/>
      <c r="S995" s="38"/>
      <c r="BB995" s="9" t="str">
        <f t="shared" si="51"/>
        <v>Yes</v>
      </c>
      <c r="BC995" s="9" t="e">
        <f>IF(EFB!$N995=Table1[[#This Row],[ProgramTitle]],"Yes","No")</f>
        <v>#VALUE!</v>
      </c>
      <c r="BD995" s="9" t="e">
        <f>IF(EFB!$S995=Table1[[#This Row],[SeriesEpisodeTitle]],"Yes","No")</f>
        <v>#VALUE!</v>
      </c>
      <c r="BE995" s="11">
        <f t="shared" si="52"/>
        <v>0</v>
      </c>
      <c r="BF995" s="11">
        <f t="shared" si="53"/>
        <v>0</v>
      </c>
      <c r="BH995" s="36"/>
    </row>
    <row r="996" spans="3:60" x14ac:dyDescent="0.25">
      <c r="C996" s="35"/>
      <c r="L996" s="39"/>
      <c r="BB996" s="9" t="str">
        <f t="shared" si="51"/>
        <v>Yes</v>
      </c>
      <c r="BC996" s="9" t="e">
        <f>IF(EFB!$N996=Table1[[#This Row],[ProgramTitle]],"Yes","No")</f>
        <v>#VALUE!</v>
      </c>
      <c r="BD996" s="9" t="e">
        <f>IF(EFB!$S996=Table1[[#This Row],[SeriesEpisodeTitle]],"Yes","No")</f>
        <v>#VALUE!</v>
      </c>
      <c r="BE996" s="11">
        <f t="shared" si="52"/>
        <v>0</v>
      </c>
      <c r="BF996" s="11">
        <f t="shared" si="53"/>
        <v>0</v>
      </c>
      <c r="BH996" s="36"/>
    </row>
    <row r="997" spans="3:60" x14ac:dyDescent="0.25">
      <c r="C997" s="35"/>
      <c r="G997" s="38"/>
      <c r="H997" s="38"/>
      <c r="I997" s="38"/>
      <c r="J997" s="38"/>
      <c r="K997" s="38"/>
      <c r="L997" s="39"/>
      <c r="M997" s="38"/>
      <c r="N997" s="38"/>
      <c r="O997" s="38"/>
      <c r="P997" s="38"/>
      <c r="Q997" s="38"/>
      <c r="R997" s="38"/>
      <c r="S997" s="38"/>
      <c r="BB997" s="9" t="str">
        <f t="shared" si="51"/>
        <v>Yes</v>
      </c>
      <c r="BC997" s="9" t="e">
        <f>IF(EFB!$N997=Table1[[#This Row],[ProgramTitle]],"Yes","No")</f>
        <v>#VALUE!</v>
      </c>
      <c r="BD997" s="9" t="e">
        <f>IF(EFB!$S997=Table1[[#This Row],[SeriesEpisodeTitle]],"Yes","No")</f>
        <v>#VALUE!</v>
      </c>
      <c r="BE997" s="11">
        <f t="shared" si="52"/>
        <v>0</v>
      </c>
      <c r="BF997" s="11">
        <f t="shared" si="53"/>
        <v>0</v>
      </c>
      <c r="BH997" s="36"/>
    </row>
    <row r="998" spans="3:60" x14ac:dyDescent="0.25">
      <c r="C998" s="35"/>
      <c r="L998" s="39"/>
      <c r="BB998" s="9" t="str">
        <f t="shared" si="51"/>
        <v>Yes</v>
      </c>
      <c r="BC998" s="9" t="e">
        <f>IF(EFB!$N998=Table1[[#This Row],[ProgramTitle]],"Yes","No")</f>
        <v>#VALUE!</v>
      </c>
      <c r="BD998" s="9" t="e">
        <f>IF(EFB!$S998=Table1[[#This Row],[SeriesEpisodeTitle]],"Yes","No")</f>
        <v>#VALUE!</v>
      </c>
      <c r="BE998" s="11">
        <f t="shared" si="52"/>
        <v>0</v>
      </c>
      <c r="BF998" s="11">
        <f t="shared" si="53"/>
        <v>0</v>
      </c>
      <c r="BH998" s="36"/>
    </row>
    <row r="999" spans="3:60" x14ac:dyDescent="0.25">
      <c r="C999" s="35"/>
      <c r="G999" s="38"/>
      <c r="H999" s="38"/>
      <c r="I999" s="38"/>
      <c r="J999" s="38"/>
      <c r="K999" s="38"/>
      <c r="L999" s="39"/>
      <c r="M999" s="38"/>
      <c r="N999" s="38"/>
      <c r="O999" s="38"/>
      <c r="P999" s="38"/>
      <c r="Q999" s="38"/>
      <c r="R999" s="38"/>
      <c r="S999" s="38"/>
      <c r="BB999" s="9" t="str">
        <f t="shared" si="51"/>
        <v>Yes</v>
      </c>
      <c r="BC999" s="9" t="e">
        <f>IF(EFB!$N999=Table1[[#This Row],[ProgramTitle]],"Yes","No")</f>
        <v>#VALUE!</v>
      </c>
      <c r="BD999" s="9" t="e">
        <f>IF(EFB!$S999=Table1[[#This Row],[SeriesEpisodeTitle]],"Yes","No")</f>
        <v>#VALUE!</v>
      </c>
      <c r="BE999" s="11">
        <f t="shared" si="52"/>
        <v>0</v>
      </c>
      <c r="BF999" s="11">
        <f t="shared" si="53"/>
        <v>0</v>
      </c>
      <c r="BH999" s="36"/>
    </row>
    <row r="1000" spans="3:60" x14ac:dyDescent="0.25">
      <c r="C1000" s="35"/>
      <c r="L1000" s="39"/>
      <c r="BB1000" s="9" t="str">
        <f t="shared" si="51"/>
        <v>Yes</v>
      </c>
      <c r="BC1000" s="9" t="e">
        <f>IF(EFB!$N1000=Table1[[#This Row],[ProgramTitle]],"Yes","No")</f>
        <v>#VALUE!</v>
      </c>
      <c r="BD1000" s="9" t="e">
        <f>IF(EFB!$S1000=Table1[[#This Row],[SeriesEpisodeTitle]],"Yes","No")</f>
        <v>#VALUE!</v>
      </c>
      <c r="BE1000" s="11">
        <f t="shared" si="52"/>
        <v>0</v>
      </c>
      <c r="BF1000" s="11">
        <f t="shared" si="53"/>
        <v>0</v>
      </c>
      <c r="BH1000" s="36"/>
    </row>
    <row r="1001" spans="3:60" x14ac:dyDescent="0.25">
      <c r="C1001" s="35"/>
      <c r="G1001" s="38"/>
      <c r="H1001" s="38"/>
      <c r="I1001" s="38"/>
      <c r="J1001" s="38"/>
      <c r="K1001" s="38"/>
      <c r="L1001" s="39"/>
      <c r="M1001" s="38"/>
      <c r="N1001" s="38"/>
      <c r="O1001" s="38"/>
      <c r="P1001" s="38"/>
      <c r="Q1001" s="38"/>
      <c r="R1001" s="38"/>
      <c r="S1001" s="38"/>
      <c r="BB1001" s="9" t="str">
        <f t="shared" si="51"/>
        <v>Yes</v>
      </c>
      <c r="BC1001" s="9" t="e">
        <f>IF(EFB!$N1001=Table1[[#This Row],[ProgramTitle]],"Yes","No")</f>
        <v>#VALUE!</v>
      </c>
      <c r="BD1001" s="9" t="e">
        <f>IF(EFB!$S1001=Table1[[#This Row],[SeriesEpisodeTitle]],"Yes","No")</f>
        <v>#VALUE!</v>
      </c>
      <c r="BE1001" s="11">
        <f t="shared" si="52"/>
        <v>0</v>
      </c>
      <c r="BF1001" s="11">
        <f t="shared" si="53"/>
        <v>0</v>
      </c>
      <c r="BH1001" s="36"/>
    </row>
    <row r="1002" spans="3:60" x14ac:dyDescent="0.25">
      <c r="C1002" s="35"/>
      <c r="L1002" s="39"/>
      <c r="BB1002" s="9" t="str">
        <f t="shared" si="51"/>
        <v>Yes</v>
      </c>
      <c r="BC1002" s="9" t="e">
        <f>IF(EFB!$N1002=Table1[[#This Row],[ProgramTitle]],"Yes","No")</f>
        <v>#VALUE!</v>
      </c>
      <c r="BD1002" s="9" t="e">
        <f>IF(EFB!$S1002=Table1[[#This Row],[SeriesEpisodeTitle]],"Yes","No")</f>
        <v>#VALUE!</v>
      </c>
      <c r="BE1002" s="11">
        <f t="shared" si="52"/>
        <v>0</v>
      </c>
      <c r="BF1002" s="11">
        <f t="shared" si="53"/>
        <v>0</v>
      </c>
      <c r="BH1002" s="36"/>
    </row>
    <row r="1003" spans="3:60" x14ac:dyDescent="0.25">
      <c r="C1003" s="35"/>
      <c r="G1003" s="38"/>
      <c r="H1003" s="38"/>
      <c r="I1003" s="38"/>
      <c r="J1003" s="38"/>
      <c r="K1003" s="38"/>
      <c r="L1003" s="39"/>
      <c r="M1003" s="38"/>
      <c r="N1003" s="38"/>
      <c r="O1003" s="38"/>
      <c r="P1003" s="38"/>
      <c r="Q1003" s="38"/>
      <c r="R1003" s="38"/>
      <c r="S1003" s="38"/>
      <c r="BB1003" s="9" t="str">
        <f t="shared" si="51"/>
        <v>Yes</v>
      </c>
      <c r="BC1003" s="9" t="e">
        <f>IF(EFB!$N1003=Table1[[#This Row],[ProgramTitle]],"Yes","No")</f>
        <v>#VALUE!</v>
      </c>
      <c r="BD1003" s="9" t="e">
        <f>IF(EFB!$S1003=Table1[[#This Row],[SeriesEpisodeTitle]],"Yes","No")</f>
        <v>#VALUE!</v>
      </c>
      <c r="BE1003" s="11">
        <f t="shared" si="52"/>
        <v>0</v>
      </c>
      <c r="BF1003" s="11">
        <f t="shared" si="53"/>
        <v>0</v>
      </c>
      <c r="BH1003" s="36"/>
    </row>
    <row r="1004" spans="3:60" x14ac:dyDescent="0.25">
      <c r="C1004" s="35"/>
      <c r="L1004" s="39"/>
      <c r="BB1004" s="9" t="str">
        <f t="shared" si="51"/>
        <v>Yes</v>
      </c>
      <c r="BC1004" s="9" t="e">
        <f>IF(EFB!$N1004=Table1[[#This Row],[ProgramTitle]],"Yes","No")</f>
        <v>#VALUE!</v>
      </c>
      <c r="BD1004" s="9" t="e">
        <f>IF(EFB!$S1004=Table1[[#This Row],[SeriesEpisodeTitle]],"Yes","No")</f>
        <v>#VALUE!</v>
      </c>
      <c r="BE1004" s="11">
        <f t="shared" si="52"/>
        <v>0</v>
      </c>
      <c r="BF1004" s="11">
        <f t="shared" si="53"/>
        <v>0</v>
      </c>
      <c r="BH1004" s="36"/>
    </row>
    <row r="1005" spans="3:60" x14ac:dyDescent="0.25">
      <c r="C1005" s="35"/>
      <c r="G1005" s="38"/>
      <c r="H1005" s="38"/>
      <c r="I1005" s="38"/>
      <c r="J1005" s="38"/>
      <c r="K1005" s="38"/>
      <c r="L1005" s="39"/>
      <c r="M1005" s="38"/>
      <c r="N1005" s="38"/>
      <c r="O1005" s="38"/>
      <c r="P1005" s="38"/>
      <c r="Q1005" s="38"/>
      <c r="R1005" s="38"/>
      <c r="S1005" s="38"/>
      <c r="BB1005" s="9" t="str">
        <f t="shared" si="51"/>
        <v>Yes</v>
      </c>
      <c r="BC1005" s="9" t="e">
        <f>IF(EFB!$N1005=Table1[[#This Row],[ProgramTitle]],"Yes","No")</f>
        <v>#VALUE!</v>
      </c>
      <c r="BD1005" s="9" t="e">
        <f>IF(EFB!$S1005=Table1[[#This Row],[SeriesEpisodeTitle]],"Yes","No")</f>
        <v>#VALUE!</v>
      </c>
      <c r="BE1005" s="11">
        <f t="shared" si="52"/>
        <v>0</v>
      </c>
      <c r="BF1005" s="11">
        <f t="shared" si="53"/>
        <v>0</v>
      </c>
      <c r="BH1005" s="36"/>
    </row>
    <row r="1006" spans="3:60" x14ac:dyDescent="0.25">
      <c r="C1006" s="35"/>
      <c r="L1006" s="39"/>
      <c r="BB1006" s="9" t="str">
        <f t="shared" si="51"/>
        <v>Yes</v>
      </c>
      <c r="BC1006" s="9" t="e">
        <f>IF(EFB!$N1006=Table1[[#This Row],[ProgramTitle]],"Yes","No")</f>
        <v>#VALUE!</v>
      </c>
      <c r="BD1006" s="9" t="e">
        <f>IF(EFB!$S1006=Table1[[#This Row],[SeriesEpisodeTitle]],"Yes","No")</f>
        <v>#VALUE!</v>
      </c>
      <c r="BE1006" s="11">
        <f t="shared" si="52"/>
        <v>0</v>
      </c>
      <c r="BF1006" s="11">
        <f t="shared" si="53"/>
        <v>0</v>
      </c>
      <c r="BH1006" s="36"/>
    </row>
    <row r="1007" spans="3:60" x14ac:dyDescent="0.25">
      <c r="C1007" s="35"/>
      <c r="G1007" s="38"/>
      <c r="H1007" s="38"/>
      <c r="I1007" s="38"/>
      <c r="J1007" s="38"/>
      <c r="K1007" s="38"/>
      <c r="L1007" s="39"/>
      <c r="M1007" s="38"/>
      <c r="N1007" s="38"/>
      <c r="O1007" s="38"/>
      <c r="P1007" s="38"/>
      <c r="Q1007" s="38"/>
      <c r="R1007" s="38"/>
      <c r="S1007" s="38"/>
      <c r="BB1007" s="9" t="str">
        <f t="shared" ref="BB1007:BB1070" si="54">IF(BE1007=BF1007,"Yes","No")</f>
        <v>Yes</v>
      </c>
      <c r="BC1007" s="9" t="e">
        <f>IF(EFB!$N1007=Table1[[#This Row],[ProgramTitle]],"Yes","No")</f>
        <v>#VALUE!</v>
      </c>
      <c r="BD1007" s="9" t="e">
        <f>IF(EFB!$S1007=Table1[[#This Row],[SeriesEpisodeTitle]],"Yes","No")</f>
        <v>#VALUE!</v>
      </c>
      <c r="BE1007" s="11">
        <f t="shared" si="52"/>
        <v>0</v>
      </c>
      <c r="BF1007" s="11">
        <f t="shared" si="53"/>
        <v>0</v>
      </c>
      <c r="BH1007" s="36"/>
    </row>
    <row r="1008" spans="3:60" x14ac:dyDescent="0.25">
      <c r="C1008" s="35"/>
      <c r="L1008" s="39"/>
      <c r="BB1008" s="9" t="str">
        <f t="shared" si="54"/>
        <v>Yes</v>
      </c>
      <c r="BC1008" s="9" t="e">
        <f>IF(EFB!$N1008=Table1[[#This Row],[ProgramTitle]],"Yes","No")</f>
        <v>#VALUE!</v>
      </c>
      <c r="BD1008" s="9" t="e">
        <f>IF(EFB!$S1008=Table1[[#This Row],[SeriesEpisodeTitle]],"Yes","No")</f>
        <v>#VALUE!</v>
      </c>
      <c r="BE1008" s="11">
        <f t="shared" si="52"/>
        <v>0</v>
      </c>
      <c r="BF1008" s="11">
        <f t="shared" si="53"/>
        <v>0</v>
      </c>
      <c r="BH1008" s="36"/>
    </row>
    <row r="1009" spans="3:60" x14ac:dyDescent="0.25">
      <c r="C1009" s="35"/>
      <c r="G1009" s="38"/>
      <c r="H1009" s="38"/>
      <c r="I1009" s="38"/>
      <c r="J1009" s="38"/>
      <c r="K1009" s="38"/>
      <c r="L1009" s="39"/>
      <c r="M1009" s="38"/>
      <c r="N1009" s="38"/>
      <c r="O1009" s="38"/>
      <c r="P1009" s="38"/>
      <c r="Q1009" s="38"/>
      <c r="R1009" s="38"/>
      <c r="S1009" s="38"/>
      <c r="BB1009" s="9" t="str">
        <f t="shared" si="54"/>
        <v>Yes</v>
      </c>
      <c r="BC1009" s="9" t="e">
        <f>IF(EFB!$N1009=Table1[[#This Row],[ProgramTitle]],"Yes","No")</f>
        <v>#VALUE!</v>
      </c>
      <c r="BD1009" s="9" t="e">
        <f>IF(EFB!$S1009=Table1[[#This Row],[SeriesEpisodeTitle]],"Yes","No")</f>
        <v>#VALUE!</v>
      </c>
      <c r="BE1009" s="11">
        <f t="shared" si="52"/>
        <v>0</v>
      </c>
      <c r="BF1009" s="11">
        <f t="shared" si="53"/>
        <v>0</v>
      </c>
      <c r="BH1009" s="36"/>
    </row>
    <row r="1010" spans="3:60" x14ac:dyDescent="0.25">
      <c r="C1010" s="35"/>
      <c r="L1010" s="39"/>
      <c r="BB1010" s="9" t="str">
        <f t="shared" si="54"/>
        <v>Yes</v>
      </c>
      <c r="BC1010" s="9" t="e">
        <f>IF(EFB!$N1010=Table1[[#This Row],[ProgramTitle]],"Yes","No")</f>
        <v>#VALUE!</v>
      </c>
      <c r="BD1010" s="9" t="e">
        <f>IF(EFB!$S1010=Table1[[#This Row],[SeriesEpisodeTitle]],"Yes","No")</f>
        <v>#VALUE!</v>
      </c>
      <c r="BE1010" s="11">
        <f t="shared" si="52"/>
        <v>0</v>
      </c>
      <c r="BF1010" s="11">
        <f t="shared" si="53"/>
        <v>0</v>
      </c>
      <c r="BH1010" s="36"/>
    </row>
    <row r="1011" spans="3:60" x14ac:dyDescent="0.25">
      <c r="C1011" s="35"/>
      <c r="G1011" s="38"/>
      <c r="H1011" s="38"/>
      <c r="I1011" s="38"/>
      <c r="J1011" s="38"/>
      <c r="K1011" s="38"/>
      <c r="L1011" s="39"/>
      <c r="M1011" s="38"/>
      <c r="N1011" s="38"/>
      <c r="O1011" s="38"/>
      <c r="P1011" s="38"/>
      <c r="Q1011" s="38"/>
      <c r="R1011" s="38"/>
      <c r="S1011" s="38"/>
      <c r="BB1011" s="9" t="str">
        <f t="shared" si="54"/>
        <v>Yes</v>
      </c>
      <c r="BC1011" s="9" t="e">
        <f>IF(EFB!$N1011=Table1[[#This Row],[ProgramTitle]],"Yes","No")</f>
        <v>#VALUE!</v>
      </c>
      <c r="BD1011" s="9" t="e">
        <f>IF(EFB!$S1011=Table1[[#This Row],[SeriesEpisodeTitle]],"Yes","No")</f>
        <v>#VALUE!</v>
      </c>
      <c r="BE1011" s="11">
        <f t="shared" si="52"/>
        <v>0</v>
      </c>
      <c r="BF1011" s="11">
        <f t="shared" si="53"/>
        <v>0</v>
      </c>
      <c r="BH1011" s="36"/>
    </row>
    <row r="1012" spans="3:60" x14ac:dyDescent="0.25">
      <c r="C1012" s="35"/>
      <c r="L1012" s="39"/>
      <c r="BB1012" s="9" t="str">
        <f t="shared" si="54"/>
        <v>Yes</v>
      </c>
      <c r="BC1012" s="9" t="e">
        <f>IF(EFB!$N1012=Table1[[#This Row],[ProgramTitle]],"Yes","No")</f>
        <v>#VALUE!</v>
      </c>
      <c r="BD1012" s="9" t="e">
        <f>IF(EFB!$S1012=Table1[[#This Row],[SeriesEpisodeTitle]],"Yes","No")</f>
        <v>#VALUE!</v>
      </c>
      <c r="BE1012" s="11">
        <f t="shared" si="52"/>
        <v>0</v>
      </c>
      <c r="BF1012" s="11">
        <f t="shared" si="53"/>
        <v>0</v>
      </c>
      <c r="BH1012" s="36"/>
    </row>
    <row r="1013" spans="3:60" x14ac:dyDescent="0.25">
      <c r="C1013" s="35"/>
      <c r="G1013" s="38"/>
      <c r="H1013" s="38"/>
      <c r="I1013" s="38"/>
      <c r="J1013" s="38"/>
      <c r="K1013" s="38"/>
      <c r="L1013" s="39"/>
      <c r="M1013" s="38"/>
      <c r="N1013" s="38"/>
      <c r="O1013" s="38"/>
      <c r="P1013" s="38"/>
      <c r="Q1013" s="38"/>
      <c r="R1013" s="38"/>
      <c r="S1013" s="38"/>
      <c r="BB1013" s="9" t="str">
        <f t="shared" si="54"/>
        <v>Yes</v>
      </c>
      <c r="BC1013" s="9" t="e">
        <f>IF(EFB!$N1013=Table1[[#This Row],[ProgramTitle]],"Yes","No")</f>
        <v>#VALUE!</v>
      </c>
      <c r="BD1013" s="9" t="e">
        <f>IF(EFB!$S1013=Table1[[#This Row],[SeriesEpisodeTitle]],"Yes","No")</f>
        <v>#VALUE!</v>
      </c>
      <c r="BE1013" s="11">
        <f t="shared" si="52"/>
        <v>0</v>
      </c>
      <c r="BF1013" s="11">
        <f t="shared" si="53"/>
        <v>0</v>
      </c>
      <c r="BH1013" s="36"/>
    </row>
    <row r="1014" spans="3:60" x14ac:dyDescent="0.25">
      <c r="C1014" s="35"/>
      <c r="L1014" s="39"/>
      <c r="BB1014" s="9" t="str">
        <f t="shared" si="54"/>
        <v>Yes</v>
      </c>
      <c r="BC1014" s="9" t="e">
        <f>IF(EFB!$N1014=Table1[[#This Row],[ProgramTitle]],"Yes","No")</f>
        <v>#VALUE!</v>
      </c>
      <c r="BD1014" s="9" t="e">
        <f>IF(EFB!$S1014=Table1[[#This Row],[SeriesEpisodeTitle]],"Yes","No")</f>
        <v>#VALUE!</v>
      </c>
      <c r="BE1014" s="11">
        <f t="shared" si="52"/>
        <v>0</v>
      </c>
      <c r="BF1014" s="11">
        <f t="shared" si="53"/>
        <v>0</v>
      </c>
      <c r="BH1014" s="36"/>
    </row>
    <row r="1015" spans="3:60" x14ac:dyDescent="0.25">
      <c r="C1015" s="35"/>
      <c r="G1015" s="38"/>
      <c r="H1015" s="38"/>
      <c r="I1015" s="38"/>
      <c r="J1015" s="38"/>
      <c r="K1015" s="38"/>
      <c r="L1015" s="39"/>
      <c r="M1015" s="38"/>
      <c r="N1015" s="38"/>
      <c r="O1015" s="38"/>
      <c r="P1015" s="38"/>
      <c r="Q1015" s="38"/>
      <c r="R1015" s="38"/>
      <c r="S1015" s="38"/>
      <c r="BB1015" s="9" t="str">
        <f t="shared" si="54"/>
        <v>Yes</v>
      </c>
      <c r="BC1015" s="9" t="e">
        <f>IF(EFB!$N1015=Table1[[#This Row],[ProgramTitle]],"Yes","No")</f>
        <v>#VALUE!</v>
      </c>
      <c r="BD1015" s="9" t="e">
        <f>IF(EFB!$S1015=Table1[[#This Row],[SeriesEpisodeTitle]],"Yes","No")</f>
        <v>#VALUE!</v>
      </c>
      <c r="BE1015" s="11">
        <f t="shared" si="52"/>
        <v>0</v>
      </c>
      <c r="BF1015" s="11">
        <f t="shared" si="53"/>
        <v>0</v>
      </c>
      <c r="BH1015" s="36"/>
    </row>
    <row r="1016" spans="3:60" x14ac:dyDescent="0.25">
      <c r="C1016" s="35"/>
      <c r="L1016" s="39"/>
      <c r="BB1016" s="9" t="str">
        <f t="shared" si="54"/>
        <v>Yes</v>
      </c>
      <c r="BC1016" s="9" t="e">
        <f>IF(EFB!$N1016=Table1[[#This Row],[ProgramTitle]],"Yes","No")</f>
        <v>#VALUE!</v>
      </c>
      <c r="BD1016" s="9" t="e">
        <f>IF(EFB!$S1016=Table1[[#This Row],[SeriesEpisodeTitle]],"Yes","No")</f>
        <v>#VALUE!</v>
      </c>
      <c r="BE1016" s="11">
        <f t="shared" si="52"/>
        <v>0</v>
      </c>
      <c r="BF1016" s="11">
        <f t="shared" si="53"/>
        <v>0</v>
      </c>
      <c r="BH1016" s="36"/>
    </row>
    <row r="1017" spans="3:60" x14ac:dyDescent="0.25">
      <c r="C1017" s="35"/>
      <c r="G1017" s="38"/>
      <c r="H1017" s="38"/>
      <c r="I1017" s="38"/>
      <c r="J1017" s="38"/>
      <c r="K1017" s="38"/>
      <c r="L1017" s="39"/>
      <c r="M1017" s="38"/>
      <c r="N1017" s="38"/>
      <c r="O1017" s="38"/>
      <c r="P1017" s="38"/>
      <c r="Q1017" s="38"/>
      <c r="R1017" s="38"/>
      <c r="S1017" s="38"/>
      <c r="BB1017" s="9" t="str">
        <f t="shared" si="54"/>
        <v>Yes</v>
      </c>
      <c r="BC1017" s="9" t="e">
        <f>IF(EFB!$N1017=Table1[[#This Row],[ProgramTitle]],"Yes","No")</f>
        <v>#VALUE!</v>
      </c>
      <c r="BD1017" s="9" t="e">
        <f>IF(EFB!$S1017=Table1[[#This Row],[SeriesEpisodeTitle]],"Yes","No")</f>
        <v>#VALUE!</v>
      </c>
      <c r="BE1017" s="11">
        <f t="shared" si="52"/>
        <v>0</v>
      </c>
      <c r="BF1017" s="11">
        <f t="shared" si="53"/>
        <v>0</v>
      </c>
      <c r="BH1017" s="36"/>
    </row>
    <row r="1018" spans="3:60" x14ac:dyDescent="0.25">
      <c r="C1018" s="35"/>
      <c r="L1018" s="39"/>
      <c r="BB1018" s="9" t="str">
        <f t="shared" si="54"/>
        <v>Yes</v>
      </c>
      <c r="BC1018" s="9" t="e">
        <f>IF(EFB!$N1018=Table1[[#This Row],[ProgramTitle]],"Yes","No")</f>
        <v>#VALUE!</v>
      </c>
      <c r="BD1018" s="9" t="e">
        <f>IF(EFB!$S1018=Table1[[#This Row],[SeriesEpisodeTitle]],"Yes","No")</f>
        <v>#VALUE!</v>
      </c>
      <c r="BE1018" s="11">
        <f t="shared" si="52"/>
        <v>0</v>
      </c>
      <c r="BF1018" s="11">
        <f t="shared" si="53"/>
        <v>0</v>
      </c>
      <c r="BH1018" s="36"/>
    </row>
    <row r="1019" spans="3:60" x14ac:dyDescent="0.25">
      <c r="C1019" s="35"/>
      <c r="G1019" s="38"/>
      <c r="H1019" s="38"/>
      <c r="I1019" s="38"/>
      <c r="J1019" s="38"/>
      <c r="K1019" s="38"/>
      <c r="L1019" s="39"/>
      <c r="M1019" s="38"/>
      <c r="N1019" s="38"/>
      <c r="O1019" s="38"/>
      <c r="P1019" s="38"/>
      <c r="Q1019" s="38"/>
      <c r="R1019" s="38"/>
      <c r="S1019" s="38"/>
      <c r="BB1019" s="9" t="str">
        <f t="shared" si="54"/>
        <v>Yes</v>
      </c>
      <c r="BC1019" s="9" t="e">
        <f>IF(EFB!$N1019=Table1[[#This Row],[ProgramTitle]],"Yes","No")</f>
        <v>#VALUE!</v>
      </c>
      <c r="BD1019" s="9" t="e">
        <f>IF(EFB!$S1019=Table1[[#This Row],[SeriesEpisodeTitle]],"Yes","No")</f>
        <v>#VALUE!</v>
      </c>
      <c r="BE1019" s="11">
        <f t="shared" si="52"/>
        <v>0</v>
      </c>
      <c r="BF1019" s="11">
        <f t="shared" si="53"/>
        <v>0</v>
      </c>
      <c r="BH1019" s="36"/>
    </row>
    <row r="1020" spans="3:60" x14ac:dyDescent="0.25">
      <c r="C1020" s="35"/>
      <c r="L1020" s="39"/>
      <c r="BB1020" s="9" t="str">
        <f t="shared" si="54"/>
        <v>Yes</v>
      </c>
      <c r="BC1020" s="9" t="e">
        <f>IF(EFB!$N1020=Table1[[#This Row],[ProgramTitle]],"Yes","No")</f>
        <v>#VALUE!</v>
      </c>
      <c r="BD1020" s="9" t="e">
        <f>IF(EFB!$S1020=Table1[[#This Row],[SeriesEpisodeTitle]],"Yes","No")</f>
        <v>#VALUE!</v>
      </c>
      <c r="BE1020" s="11">
        <f t="shared" si="52"/>
        <v>0</v>
      </c>
      <c r="BF1020" s="11">
        <f t="shared" si="53"/>
        <v>0</v>
      </c>
      <c r="BH1020" s="36"/>
    </row>
    <row r="1021" spans="3:60" x14ac:dyDescent="0.25">
      <c r="C1021" s="35"/>
      <c r="G1021" s="38"/>
      <c r="H1021" s="38"/>
      <c r="I1021" s="38"/>
      <c r="J1021" s="38"/>
      <c r="K1021" s="38"/>
      <c r="L1021" s="39"/>
      <c r="M1021" s="38"/>
      <c r="N1021" s="38"/>
      <c r="O1021" s="38"/>
      <c r="P1021" s="38"/>
      <c r="Q1021" s="38"/>
      <c r="R1021" s="38"/>
      <c r="S1021" s="38"/>
      <c r="BB1021" s="9" t="str">
        <f t="shared" si="54"/>
        <v>Yes</v>
      </c>
      <c r="BC1021" s="9" t="e">
        <f>IF(EFB!$N1021=Table1[[#This Row],[ProgramTitle]],"Yes","No")</f>
        <v>#VALUE!</v>
      </c>
      <c r="BD1021" s="9" t="e">
        <f>IF(EFB!$S1021=Table1[[#This Row],[SeriesEpisodeTitle]],"Yes","No")</f>
        <v>#VALUE!</v>
      </c>
      <c r="BE1021" s="11">
        <f t="shared" si="52"/>
        <v>0</v>
      </c>
      <c r="BF1021" s="11">
        <f t="shared" si="53"/>
        <v>0</v>
      </c>
      <c r="BH1021" s="36"/>
    </row>
    <row r="1022" spans="3:60" x14ac:dyDescent="0.25">
      <c r="C1022" s="35"/>
      <c r="L1022" s="39"/>
      <c r="BB1022" s="9" t="str">
        <f t="shared" si="54"/>
        <v>Yes</v>
      </c>
      <c r="BC1022" s="9" t="e">
        <f>IF(EFB!$N1022=Table1[[#This Row],[ProgramTitle]],"Yes","No")</f>
        <v>#VALUE!</v>
      </c>
      <c r="BD1022" s="9" t="e">
        <f>IF(EFB!$S1022=Table1[[#This Row],[SeriesEpisodeTitle]],"Yes","No")</f>
        <v>#VALUE!</v>
      </c>
      <c r="BE1022" s="11">
        <f t="shared" si="52"/>
        <v>0</v>
      </c>
      <c r="BF1022" s="11">
        <f t="shared" si="53"/>
        <v>0</v>
      </c>
      <c r="BH1022" s="36"/>
    </row>
    <row r="1023" spans="3:60" x14ac:dyDescent="0.25">
      <c r="C1023" s="35"/>
      <c r="G1023" s="38"/>
      <c r="H1023" s="38"/>
      <c r="I1023" s="38"/>
      <c r="J1023" s="38"/>
      <c r="K1023" s="38"/>
      <c r="L1023" s="39"/>
      <c r="M1023" s="38"/>
      <c r="N1023" s="38"/>
      <c r="O1023" s="38"/>
      <c r="P1023" s="38"/>
      <c r="Q1023" s="38"/>
      <c r="R1023" s="38"/>
      <c r="S1023" s="38"/>
      <c r="BB1023" s="9" t="str">
        <f t="shared" si="54"/>
        <v>Yes</v>
      </c>
      <c r="BC1023" s="9" t="e">
        <f>IF(EFB!$N1023=Table1[[#This Row],[ProgramTitle]],"Yes","No")</f>
        <v>#VALUE!</v>
      </c>
      <c r="BD1023" s="9" t="e">
        <f>IF(EFB!$S1023=Table1[[#This Row],[SeriesEpisodeTitle]],"Yes","No")</f>
        <v>#VALUE!</v>
      </c>
      <c r="BE1023" s="11">
        <f t="shared" si="52"/>
        <v>0</v>
      </c>
      <c r="BF1023" s="11">
        <f t="shared" si="53"/>
        <v>0</v>
      </c>
      <c r="BH1023" s="36"/>
    </row>
    <row r="1024" spans="3:60" x14ac:dyDescent="0.25">
      <c r="C1024" s="35"/>
      <c r="L1024" s="39"/>
      <c r="BB1024" s="9" t="str">
        <f t="shared" si="54"/>
        <v>Yes</v>
      </c>
      <c r="BC1024" s="9" t="e">
        <f>IF(EFB!$N1024=Table1[[#This Row],[ProgramTitle]],"Yes","No")</f>
        <v>#VALUE!</v>
      </c>
      <c r="BD1024" s="9" t="e">
        <f>IF(EFB!$S1024=Table1[[#This Row],[SeriesEpisodeTitle]],"Yes","No")</f>
        <v>#VALUE!</v>
      </c>
      <c r="BE1024" s="11">
        <f t="shared" si="52"/>
        <v>0</v>
      </c>
      <c r="BF1024" s="11">
        <f t="shared" si="53"/>
        <v>0</v>
      </c>
      <c r="BH1024" s="36"/>
    </row>
    <row r="1025" spans="3:60" x14ac:dyDescent="0.25">
      <c r="C1025" s="35"/>
      <c r="G1025" s="38"/>
      <c r="H1025" s="38"/>
      <c r="I1025" s="38"/>
      <c r="J1025" s="38"/>
      <c r="K1025" s="38"/>
      <c r="L1025" s="39"/>
      <c r="M1025" s="38"/>
      <c r="N1025" s="38"/>
      <c r="O1025" s="38"/>
      <c r="P1025" s="38"/>
      <c r="Q1025" s="38"/>
      <c r="R1025" s="38"/>
      <c r="S1025" s="38"/>
      <c r="BB1025" s="9" t="str">
        <f t="shared" si="54"/>
        <v>Yes</v>
      </c>
      <c r="BC1025" s="9" t="e">
        <f>IF(EFB!$N1025=Table1[[#This Row],[ProgramTitle]],"Yes","No")</f>
        <v>#VALUE!</v>
      </c>
      <c r="BD1025" s="9" t="e">
        <f>IF(EFB!$S1025=Table1[[#This Row],[SeriesEpisodeTitle]],"Yes","No")</f>
        <v>#VALUE!</v>
      </c>
      <c r="BE1025" s="11">
        <f t="shared" si="52"/>
        <v>0</v>
      </c>
      <c r="BF1025" s="11">
        <f t="shared" si="53"/>
        <v>0</v>
      </c>
      <c r="BH1025" s="36"/>
    </row>
    <row r="1026" spans="3:60" x14ac:dyDescent="0.25">
      <c r="C1026" s="35"/>
      <c r="L1026" s="39"/>
      <c r="BB1026" s="9" t="str">
        <f t="shared" si="54"/>
        <v>Yes</v>
      </c>
      <c r="BC1026" s="9" t="e">
        <f>IF(EFB!$N1026=Table1[[#This Row],[ProgramTitle]],"Yes","No")</f>
        <v>#VALUE!</v>
      </c>
      <c r="BD1026" s="9" t="e">
        <f>IF(EFB!$S1026=Table1[[#This Row],[SeriesEpisodeTitle]],"Yes","No")</f>
        <v>#VALUE!</v>
      </c>
      <c r="BE1026" s="11">
        <f t="shared" si="52"/>
        <v>0</v>
      </c>
      <c r="BF1026" s="11">
        <f t="shared" si="53"/>
        <v>0</v>
      </c>
      <c r="BH1026" s="36"/>
    </row>
    <row r="1027" spans="3:60" x14ac:dyDescent="0.25">
      <c r="C1027" s="35"/>
      <c r="G1027" s="38"/>
      <c r="H1027" s="38"/>
      <c r="I1027" s="38"/>
      <c r="J1027" s="38"/>
      <c r="K1027" s="38"/>
      <c r="L1027" s="39"/>
      <c r="M1027" s="38"/>
      <c r="N1027" s="38"/>
      <c r="O1027" s="38"/>
      <c r="P1027" s="38"/>
      <c r="Q1027" s="38"/>
      <c r="R1027" s="38"/>
      <c r="S1027" s="38"/>
      <c r="BB1027" s="9" t="str">
        <f t="shared" si="54"/>
        <v>Yes</v>
      </c>
      <c r="BC1027" s="9" t="e">
        <f>IF(EFB!$N1027=Table1[[#This Row],[ProgramTitle]],"Yes","No")</f>
        <v>#VALUE!</v>
      </c>
      <c r="BD1027" s="9" t="e">
        <f>IF(EFB!$S1027=Table1[[#This Row],[SeriesEpisodeTitle]],"Yes","No")</f>
        <v>#VALUE!</v>
      </c>
      <c r="BE1027" s="11">
        <f t="shared" ref="BE1027:BE1090" si="55">TIME(HOUR(C1027),MINUTE(C1027),SECOND(0))</f>
        <v>0</v>
      </c>
      <c r="BF1027" s="11">
        <f t="shared" ref="BF1027:BF1090" si="56">TIME(HOUR(L1027),MINUTE(L1027),SECOND(0))</f>
        <v>0</v>
      </c>
      <c r="BH1027" s="36"/>
    </row>
    <row r="1028" spans="3:60" x14ac:dyDescent="0.25">
      <c r="C1028" s="35"/>
      <c r="L1028" s="39"/>
      <c r="BB1028" s="9" t="str">
        <f t="shared" si="54"/>
        <v>Yes</v>
      </c>
      <c r="BC1028" s="9" t="e">
        <f>IF(EFB!$N1028=Table1[[#This Row],[ProgramTitle]],"Yes","No")</f>
        <v>#VALUE!</v>
      </c>
      <c r="BD1028" s="9" t="e">
        <f>IF(EFB!$S1028=Table1[[#This Row],[SeriesEpisodeTitle]],"Yes","No")</f>
        <v>#VALUE!</v>
      </c>
      <c r="BE1028" s="11">
        <f t="shared" si="55"/>
        <v>0</v>
      </c>
      <c r="BF1028" s="11">
        <f t="shared" si="56"/>
        <v>0</v>
      </c>
      <c r="BH1028" s="36"/>
    </row>
    <row r="1029" spans="3:60" x14ac:dyDescent="0.25">
      <c r="C1029" s="35"/>
      <c r="G1029" s="38"/>
      <c r="H1029" s="38"/>
      <c r="I1029" s="38"/>
      <c r="J1029" s="38"/>
      <c r="K1029" s="38"/>
      <c r="L1029" s="39"/>
      <c r="M1029" s="38"/>
      <c r="N1029" s="38"/>
      <c r="O1029" s="38"/>
      <c r="P1029" s="38"/>
      <c r="Q1029" s="38"/>
      <c r="R1029" s="38"/>
      <c r="S1029" s="38"/>
      <c r="BB1029" s="9" t="str">
        <f t="shared" si="54"/>
        <v>Yes</v>
      </c>
      <c r="BC1029" s="9" t="e">
        <f>IF(EFB!$N1029=Table1[[#This Row],[ProgramTitle]],"Yes","No")</f>
        <v>#VALUE!</v>
      </c>
      <c r="BD1029" s="9" t="e">
        <f>IF(EFB!$S1029=Table1[[#This Row],[SeriesEpisodeTitle]],"Yes","No")</f>
        <v>#VALUE!</v>
      </c>
      <c r="BE1029" s="11">
        <f t="shared" si="55"/>
        <v>0</v>
      </c>
      <c r="BF1029" s="11">
        <f t="shared" si="56"/>
        <v>0</v>
      </c>
      <c r="BH1029" s="36"/>
    </row>
    <row r="1030" spans="3:60" x14ac:dyDescent="0.25">
      <c r="C1030" s="35"/>
      <c r="L1030" s="39"/>
      <c r="BB1030" s="9" t="str">
        <f t="shared" si="54"/>
        <v>Yes</v>
      </c>
      <c r="BC1030" s="9" t="e">
        <f>IF(EFB!$N1030=Table1[[#This Row],[ProgramTitle]],"Yes","No")</f>
        <v>#VALUE!</v>
      </c>
      <c r="BD1030" s="9" t="e">
        <f>IF(EFB!$S1030=Table1[[#This Row],[SeriesEpisodeTitle]],"Yes","No")</f>
        <v>#VALUE!</v>
      </c>
      <c r="BE1030" s="11">
        <f t="shared" si="55"/>
        <v>0</v>
      </c>
      <c r="BF1030" s="11">
        <f t="shared" si="56"/>
        <v>0</v>
      </c>
      <c r="BH1030" s="36"/>
    </row>
    <row r="1031" spans="3:60" x14ac:dyDescent="0.25">
      <c r="C1031" s="35"/>
      <c r="G1031" s="38"/>
      <c r="H1031" s="38"/>
      <c r="I1031" s="38"/>
      <c r="J1031" s="38"/>
      <c r="K1031" s="38"/>
      <c r="L1031" s="39"/>
      <c r="M1031" s="38"/>
      <c r="N1031" s="38"/>
      <c r="O1031" s="38"/>
      <c r="P1031" s="38"/>
      <c r="Q1031" s="38"/>
      <c r="R1031" s="38"/>
      <c r="S1031" s="38"/>
      <c r="BB1031" s="9" t="str">
        <f t="shared" si="54"/>
        <v>Yes</v>
      </c>
      <c r="BC1031" s="9" t="e">
        <f>IF(EFB!$N1031=Table1[[#This Row],[ProgramTitle]],"Yes","No")</f>
        <v>#VALUE!</v>
      </c>
      <c r="BD1031" s="9" t="e">
        <f>IF(EFB!$S1031=Table1[[#This Row],[SeriesEpisodeTitle]],"Yes","No")</f>
        <v>#VALUE!</v>
      </c>
      <c r="BE1031" s="11">
        <f t="shared" si="55"/>
        <v>0</v>
      </c>
      <c r="BF1031" s="11">
        <f t="shared" si="56"/>
        <v>0</v>
      </c>
      <c r="BH1031" s="36"/>
    </row>
    <row r="1032" spans="3:60" x14ac:dyDescent="0.25">
      <c r="C1032" s="35"/>
      <c r="L1032" s="39"/>
      <c r="BB1032" s="9" t="str">
        <f t="shared" si="54"/>
        <v>Yes</v>
      </c>
      <c r="BC1032" s="9" t="e">
        <f>IF(EFB!$N1032=Table1[[#This Row],[ProgramTitle]],"Yes","No")</f>
        <v>#VALUE!</v>
      </c>
      <c r="BD1032" s="9" t="e">
        <f>IF(EFB!$S1032=Table1[[#This Row],[SeriesEpisodeTitle]],"Yes","No")</f>
        <v>#VALUE!</v>
      </c>
      <c r="BE1032" s="11">
        <f t="shared" si="55"/>
        <v>0</v>
      </c>
      <c r="BF1032" s="11">
        <f t="shared" si="56"/>
        <v>0</v>
      </c>
      <c r="BH1032" s="36"/>
    </row>
    <row r="1033" spans="3:60" x14ac:dyDescent="0.25">
      <c r="C1033" s="35"/>
      <c r="G1033" s="38"/>
      <c r="H1033" s="38"/>
      <c r="I1033" s="38"/>
      <c r="J1033" s="38"/>
      <c r="K1033" s="38"/>
      <c r="L1033" s="39"/>
      <c r="M1033" s="38"/>
      <c r="N1033" s="38"/>
      <c r="O1033" s="38"/>
      <c r="P1033" s="38"/>
      <c r="Q1033" s="38"/>
      <c r="R1033" s="38"/>
      <c r="S1033" s="38"/>
      <c r="BB1033" s="9" t="str">
        <f t="shared" si="54"/>
        <v>Yes</v>
      </c>
      <c r="BC1033" s="9" t="e">
        <f>IF(EFB!$N1033=Table1[[#This Row],[ProgramTitle]],"Yes","No")</f>
        <v>#VALUE!</v>
      </c>
      <c r="BD1033" s="9" t="e">
        <f>IF(EFB!$S1033=Table1[[#This Row],[SeriesEpisodeTitle]],"Yes","No")</f>
        <v>#VALUE!</v>
      </c>
      <c r="BE1033" s="11">
        <f t="shared" si="55"/>
        <v>0</v>
      </c>
      <c r="BF1033" s="11">
        <f t="shared" si="56"/>
        <v>0</v>
      </c>
      <c r="BH1033" s="36"/>
    </row>
    <row r="1034" spans="3:60" x14ac:dyDescent="0.25">
      <c r="C1034" s="35"/>
      <c r="L1034" s="39"/>
      <c r="BB1034" s="9" t="str">
        <f t="shared" si="54"/>
        <v>Yes</v>
      </c>
      <c r="BC1034" s="9" t="e">
        <f>IF(EFB!$N1034=Table1[[#This Row],[ProgramTitle]],"Yes","No")</f>
        <v>#VALUE!</v>
      </c>
      <c r="BD1034" s="9" t="e">
        <f>IF(EFB!$S1034=Table1[[#This Row],[SeriesEpisodeTitle]],"Yes","No")</f>
        <v>#VALUE!</v>
      </c>
      <c r="BE1034" s="11">
        <f t="shared" si="55"/>
        <v>0</v>
      </c>
      <c r="BF1034" s="11">
        <f t="shared" si="56"/>
        <v>0</v>
      </c>
      <c r="BH1034" s="36"/>
    </row>
    <row r="1035" spans="3:60" x14ac:dyDescent="0.25">
      <c r="C1035" s="35"/>
      <c r="G1035" s="38"/>
      <c r="H1035" s="38"/>
      <c r="I1035" s="38"/>
      <c r="J1035" s="38"/>
      <c r="K1035" s="38"/>
      <c r="L1035" s="39"/>
      <c r="M1035" s="38"/>
      <c r="N1035" s="38"/>
      <c r="O1035" s="38"/>
      <c r="P1035" s="38"/>
      <c r="Q1035" s="38"/>
      <c r="R1035" s="38"/>
      <c r="S1035" s="38"/>
      <c r="BB1035" s="9" t="str">
        <f t="shared" si="54"/>
        <v>Yes</v>
      </c>
      <c r="BC1035" s="9" t="e">
        <f>IF(EFB!$N1035=Table1[[#This Row],[ProgramTitle]],"Yes","No")</f>
        <v>#VALUE!</v>
      </c>
      <c r="BD1035" s="9" t="e">
        <f>IF(EFB!$S1035=Table1[[#This Row],[SeriesEpisodeTitle]],"Yes","No")</f>
        <v>#VALUE!</v>
      </c>
      <c r="BE1035" s="11">
        <f t="shared" si="55"/>
        <v>0</v>
      </c>
      <c r="BF1035" s="11">
        <f t="shared" si="56"/>
        <v>0</v>
      </c>
      <c r="BH1035" s="36"/>
    </row>
    <row r="1036" spans="3:60" x14ac:dyDescent="0.25">
      <c r="C1036" s="35"/>
      <c r="L1036" s="39"/>
      <c r="BB1036" s="9" t="str">
        <f t="shared" si="54"/>
        <v>Yes</v>
      </c>
      <c r="BC1036" s="9" t="e">
        <f>IF(EFB!$N1036=Table1[[#This Row],[ProgramTitle]],"Yes","No")</f>
        <v>#VALUE!</v>
      </c>
      <c r="BD1036" s="9" t="e">
        <f>IF(EFB!$S1036=Table1[[#This Row],[SeriesEpisodeTitle]],"Yes","No")</f>
        <v>#VALUE!</v>
      </c>
      <c r="BE1036" s="11">
        <f t="shared" si="55"/>
        <v>0</v>
      </c>
      <c r="BF1036" s="11">
        <f t="shared" si="56"/>
        <v>0</v>
      </c>
      <c r="BH1036" s="36"/>
    </row>
    <row r="1037" spans="3:60" x14ac:dyDescent="0.25">
      <c r="C1037" s="35"/>
      <c r="G1037" s="38"/>
      <c r="H1037" s="38"/>
      <c r="I1037" s="38"/>
      <c r="J1037" s="38"/>
      <c r="K1037" s="38"/>
      <c r="L1037" s="39"/>
      <c r="M1037" s="38"/>
      <c r="N1037" s="38"/>
      <c r="O1037" s="38"/>
      <c r="P1037" s="38"/>
      <c r="Q1037" s="38"/>
      <c r="R1037" s="38"/>
      <c r="S1037" s="38"/>
      <c r="BB1037" s="9" t="str">
        <f t="shared" si="54"/>
        <v>Yes</v>
      </c>
      <c r="BC1037" s="9" t="e">
        <f>IF(EFB!$N1037=Table1[[#This Row],[ProgramTitle]],"Yes","No")</f>
        <v>#VALUE!</v>
      </c>
      <c r="BD1037" s="9" t="e">
        <f>IF(EFB!$S1037=Table1[[#This Row],[SeriesEpisodeTitle]],"Yes","No")</f>
        <v>#VALUE!</v>
      </c>
      <c r="BE1037" s="11">
        <f t="shared" si="55"/>
        <v>0</v>
      </c>
      <c r="BF1037" s="11">
        <f t="shared" si="56"/>
        <v>0</v>
      </c>
      <c r="BH1037" s="36"/>
    </row>
    <row r="1038" spans="3:60" x14ac:dyDescent="0.25">
      <c r="C1038" s="35"/>
      <c r="L1038" s="39"/>
      <c r="BB1038" s="9" t="str">
        <f t="shared" si="54"/>
        <v>Yes</v>
      </c>
      <c r="BC1038" s="9" t="e">
        <f>IF(EFB!$N1038=Table1[[#This Row],[ProgramTitle]],"Yes","No")</f>
        <v>#VALUE!</v>
      </c>
      <c r="BD1038" s="9" t="e">
        <f>IF(EFB!$S1038=Table1[[#This Row],[SeriesEpisodeTitle]],"Yes","No")</f>
        <v>#VALUE!</v>
      </c>
      <c r="BE1038" s="11">
        <f t="shared" si="55"/>
        <v>0</v>
      </c>
      <c r="BF1038" s="11">
        <f t="shared" si="56"/>
        <v>0</v>
      </c>
      <c r="BH1038" s="36"/>
    </row>
    <row r="1039" spans="3:60" x14ac:dyDescent="0.25">
      <c r="C1039" s="35"/>
      <c r="G1039" s="38"/>
      <c r="H1039" s="38"/>
      <c r="I1039" s="38"/>
      <c r="J1039" s="38"/>
      <c r="K1039" s="38"/>
      <c r="L1039" s="39"/>
      <c r="M1039" s="38"/>
      <c r="N1039" s="38"/>
      <c r="O1039" s="38"/>
      <c r="P1039" s="38"/>
      <c r="Q1039" s="38"/>
      <c r="R1039" s="38"/>
      <c r="S1039" s="38"/>
      <c r="BB1039" s="9" t="str">
        <f t="shared" si="54"/>
        <v>Yes</v>
      </c>
      <c r="BC1039" s="9" t="e">
        <f>IF(EFB!$N1039=Table1[[#This Row],[ProgramTitle]],"Yes","No")</f>
        <v>#VALUE!</v>
      </c>
      <c r="BD1039" s="9" t="e">
        <f>IF(EFB!$S1039=Table1[[#This Row],[SeriesEpisodeTitle]],"Yes","No")</f>
        <v>#VALUE!</v>
      </c>
      <c r="BE1039" s="11">
        <f t="shared" si="55"/>
        <v>0</v>
      </c>
      <c r="BF1039" s="11">
        <f t="shared" si="56"/>
        <v>0</v>
      </c>
      <c r="BH1039" s="36"/>
    </row>
    <row r="1040" spans="3:60" x14ac:dyDescent="0.25">
      <c r="C1040" s="35"/>
      <c r="L1040" s="39"/>
      <c r="BB1040" s="9" t="str">
        <f t="shared" si="54"/>
        <v>Yes</v>
      </c>
      <c r="BC1040" s="9" t="e">
        <f>IF(EFB!$N1040=Table1[[#This Row],[ProgramTitle]],"Yes","No")</f>
        <v>#VALUE!</v>
      </c>
      <c r="BD1040" s="9" t="e">
        <f>IF(EFB!$S1040=Table1[[#This Row],[SeriesEpisodeTitle]],"Yes","No")</f>
        <v>#VALUE!</v>
      </c>
      <c r="BE1040" s="11">
        <f t="shared" si="55"/>
        <v>0</v>
      </c>
      <c r="BF1040" s="11">
        <f t="shared" si="56"/>
        <v>0</v>
      </c>
      <c r="BH1040" s="36"/>
    </row>
    <row r="1041" spans="3:60" x14ac:dyDescent="0.25">
      <c r="C1041" s="35"/>
      <c r="G1041" s="38"/>
      <c r="H1041" s="38"/>
      <c r="I1041" s="38"/>
      <c r="J1041" s="38"/>
      <c r="K1041" s="38"/>
      <c r="L1041" s="39"/>
      <c r="M1041" s="38"/>
      <c r="N1041" s="38"/>
      <c r="O1041" s="38"/>
      <c r="P1041" s="38"/>
      <c r="Q1041" s="38"/>
      <c r="R1041" s="38"/>
      <c r="S1041" s="38"/>
      <c r="BB1041" s="9" t="str">
        <f t="shared" si="54"/>
        <v>Yes</v>
      </c>
      <c r="BC1041" s="9" t="e">
        <f>IF(EFB!$N1041=Table1[[#This Row],[ProgramTitle]],"Yes","No")</f>
        <v>#VALUE!</v>
      </c>
      <c r="BD1041" s="9" t="e">
        <f>IF(EFB!$S1041=Table1[[#This Row],[SeriesEpisodeTitle]],"Yes","No")</f>
        <v>#VALUE!</v>
      </c>
      <c r="BE1041" s="11">
        <f t="shared" si="55"/>
        <v>0</v>
      </c>
      <c r="BF1041" s="11">
        <f t="shared" si="56"/>
        <v>0</v>
      </c>
      <c r="BH1041" s="36"/>
    </row>
    <row r="1042" spans="3:60" x14ac:dyDescent="0.25">
      <c r="C1042" s="35"/>
      <c r="L1042" s="39"/>
      <c r="BB1042" s="9" t="str">
        <f t="shared" si="54"/>
        <v>Yes</v>
      </c>
      <c r="BC1042" s="9" t="e">
        <f>IF(EFB!$N1042=Table1[[#This Row],[ProgramTitle]],"Yes","No")</f>
        <v>#VALUE!</v>
      </c>
      <c r="BD1042" s="9" t="e">
        <f>IF(EFB!$S1042=Table1[[#This Row],[SeriesEpisodeTitle]],"Yes","No")</f>
        <v>#VALUE!</v>
      </c>
      <c r="BE1042" s="11">
        <f t="shared" si="55"/>
        <v>0</v>
      </c>
      <c r="BF1042" s="11">
        <f t="shared" si="56"/>
        <v>0</v>
      </c>
      <c r="BH1042" s="36"/>
    </row>
    <row r="1043" spans="3:60" x14ac:dyDescent="0.25">
      <c r="C1043" s="35"/>
      <c r="G1043" s="38"/>
      <c r="H1043" s="38"/>
      <c r="I1043" s="38"/>
      <c r="J1043" s="38"/>
      <c r="K1043" s="38"/>
      <c r="L1043" s="39"/>
      <c r="M1043" s="38"/>
      <c r="N1043" s="38"/>
      <c r="O1043" s="38"/>
      <c r="P1043" s="38"/>
      <c r="Q1043" s="38"/>
      <c r="R1043" s="38"/>
      <c r="S1043" s="38"/>
      <c r="BB1043" s="9" t="str">
        <f t="shared" si="54"/>
        <v>Yes</v>
      </c>
      <c r="BC1043" s="9" t="e">
        <f>IF(EFB!$N1043=Table1[[#This Row],[ProgramTitle]],"Yes","No")</f>
        <v>#VALUE!</v>
      </c>
      <c r="BD1043" s="9" t="e">
        <f>IF(EFB!$S1043=Table1[[#This Row],[SeriesEpisodeTitle]],"Yes","No")</f>
        <v>#VALUE!</v>
      </c>
      <c r="BE1043" s="11">
        <f t="shared" si="55"/>
        <v>0</v>
      </c>
      <c r="BF1043" s="11">
        <f t="shared" si="56"/>
        <v>0</v>
      </c>
      <c r="BH1043" s="36"/>
    </row>
    <row r="1044" spans="3:60" x14ac:dyDescent="0.25">
      <c r="C1044" s="35"/>
      <c r="L1044" s="39"/>
      <c r="BB1044" s="9" t="str">
        <f t="shared" si="54"/>
        <v>Yes</v>
      </c>
      <c r="BC1044" s="9" t="e">
        <f>IF(EFB!$N1044=Table1[[#This Row],[ProgramTitle]],"Yes","No")</f>
        <v>#VALUE!</v>
      </c>
      <c r="BD1044" s="9" t="e">
        <f>IF(EFB!$S1044=Table1[[#This Row],[SeriesEpisodeTitle]],"Yes","No")</f>
        <v>#VALUE!</v>
      </c>
      <c r="BE1044" s="11">
        <f t="shared" si="55"/>
        <v>0</v>
      </c>
      <c r="BF1044" s="11">
        <f t="shared" si="56"/>
        <v>0</v>
      </c>
      <c r="BH1044" s="36"/>
    </row>
    <row r="1045" spans="3:60" x14ac:dyDescent="0.25">
      <c r="C1045" s="35"/>
      <c r="G1045" s="38"/>
      <c r="H1045" s="38"/>
      <c r="I1045" s="38"/>
      <c r="J1045" s="38"/>
      <c r="K1045" s="38"/>
      <c r="L1045" s="39"/>
      <c r="M1045" s="38"/>
      <c r="N1045" s="38"/>
      <c r="O1045" s="38"/>
      <c r="P1045" s="38"/>
      <c r="Q1045" s="38"/>
      <c r="R1045" s="38"/>
      <c r="S1045" s="38"/>
      <c r="BB1045" s="9" t="str">
        <f t="shared" si="54"/>
        <v>Yes</v>
      </c>
      <c r="BC1045" s="9" t="e">
        <f>IF(EFB!$N1045=Table1[[#This Row],[ProgramTitle]],"Yes","No")</f>
        <v>#VALUE!</v>
      </c>
      <c r="BD1045" s="9" t="e">
        <f>IF(EFB!$S1045=Table1[[#This Row],[SeriesEpisodeTitle]],"Yes","No")</f>
        <v>#VALUE!</v>
      </c>
      <c r="BE1045" s="11">
        <f t="shared" si="55"/>
        <v>0</v>
      </c>
      <c r="BF1045" s="11">
        <f t="shared" si="56"/>
        <v>0</v>
      </c>
      <c r="BH1045" s="36"/>
    </row>
    <row r="1046" spans="3:60" x14ac:dyDescent="0.25">
      <c r="C1046" s="35"/>
      <c r="L1046" s="39"/>
      <c r="BB1046" s="9" t="str">
        <f t="shared" si="54"/>
        <v>Yes</v>
      </c>
      <c r="BC1046" s="9" t="e">
        <f>IF(EFB!$N1046=Table1[[#This Row],[ProgramTitle]],"Yes","No")</f>
        <v>#VALUE!</v>
      </c>
      <c r="BD1046" s="9" t="e">
        <f>IF(EFB!$S1046=Table1[[#This Row],[SeriesEpisodeTitle]],"Yes","No")</f>
        <v>#VALUE!</v>
      </c>
      <c r="BE1046" s="11">
        <f t="shared" si="55"/>
        <v>0</v>
      </c>
      <c r="BF1046" s="11">
        <f t="shared" si="56"/>
        <v>0</v>
      </c>
      <c r="BH1046" s="36"/>
    </row>
    <row r="1047" spans="3:60" x14ac:dyDescent="0.25">
      <c r="C1047" s="35"/>
      <c r="G1047" s="38"/>
      <c r="H1047" s="38"/>
      <c r="I1047" s="38"/>
      <c r="J1047" s="38"/>
      <c r="K1047" s="38"/>
      <c r="L1047" s="39"/>
      <c r="M1047" s="38"/>
      <c r="N1047" s="38"/>
      <c r="O1047" s="38"/>
      <c r="P1047" s="38"/>
      <c r="Q1047" s="38"/>
      <c r="R1047" s="38"/>
      <c r="S1047" s="38"/>
      <c r="BB1047" s="9" t="str">
        <f t="shared" si="54"/>
        <v>Yes</v>
      </c>
      <c r="BC1047" s="9" t="e">
        <f>IF(EFB!$N1047=Table1[[#This Row],[ProgramTitle]],"Yes","No")</f>
        <v>#VALUE!</v>
      </c>
      <c r="BD1047" s="9" t="e">
        <f>IF(EFB!$S1047=Table1[[#This Row],[SeriesEpisodeTitle]],"Yes","No")</f>
        <v>#VALUE!</v>
      </c>
      <c r="BE1047" s="11">
        <f t="shared" si="55"/>
        <v>0</v>
      </c>
      <c r="BF1047" s="11">
        <f t="shared" si="56"/>
        <v>0</v>
      </c>
      <c r="BH1047" s="36"/>
    </row>
    <row r="1048" spans="3:60" x14ac:dyDescent="0.25">
      <c r="C1048" s="35"/>
      <c r="L1048" s="39"/>
      <c r="BB1048" s="9" t="str">
        <f t="shared" si="54"/>
        <v>Yes</v>
      </c>
      <c r="BC1048" s="9" t="e">
        <f>IF(EFB!$N1048=Table1[[#This Row],[ProgramTitle]],"Yes","No")</f>
        <v>#VALUE!</v>
      </c>
      <c r="BD1048" s="9" t="e">
        <f>IF(EFB!$S1048=Table1[[#This Row],[SeriesEpisodeTitle]],"Yes","No")</f>
        <v>#VALUE!</v>
      </c>
      <c r="BE1048" s="11">
        <f t="shared" si="55"/>
        <v>0</v>
      </c>
      <c r="BF1048" s="11">
        <f t="shared" si="56"/>
        <v>0</v>
      </c>
      <c r="BH1048" s="36"/>
    </row>
    <row r="1049" spans="3:60" x14ac:dyDescent="0.25">
      <c r="C1049" s="35"/>
      <c r="G1049" s="38"/>
      <c r="H1049" s="38"/>
      <c r="I1049" s="38"/>
      <c r="J1049" s="38"/>
      <c r="K1049" s="38"/>
      <c r="L1049" s="39"/>
      <c r="M1049" s="38"/>
      <c r="N1049" s="38"/>
      <c r="O1049" s="38"/>
      <c r="P1049" s="38"/>
      <c r="Q1049" s="38"/>
      <c r="R1049" s="38"/>
      <c r="S1049" s="38"/>
      <c r="BB1049" s="9" t="str">
        <f t="shared" si="54"/>
        <v>Yes</v>
      </c>
      <c r="BC1049" s="9" t="e">
        <f>IF(EFB!$N1049=Table1[[#This Row],[ProgramTitle]],"Yes","No")</f>
        <v>#VALUE!</v>
      </c>
      <c r="BD1049" s="9" t="e">
        <f>IF(EFB!$S1049=Table1[[#This Row],[SeriesEpisodeTitle]],"Yes","No")</f>
        <v>#VALUE!</v>
      </c>
      <c r="BE1049" s="11">
        <f t="shared" si="55"/>
        <v>0</v>
      </c>
      <c r="BF1049" s="11">
        <f t="shared" si="56"/>
        <v>0</v>
      </c>
      <c r="BH1049" s="36"/>
    </row>
    <row r="1050" spans="3:60" x14ac:dyDescent="0.25">
      <c r="C1050" s="35"/>
      <c r="L1050" s="39"/>
      <c r="BB1050" s="9" t="str">
        <f t="shared" si="54"/>
        <v>Yes</v>
      </c>
      <c r="BC1050" s="9" t="e">
        <f>IF(EFB!$N1050=Table1[[#This Row],[ProgramTitle]],"Yes","No")</f>
        <v>#VALUE!</v>
      </c>
      <c r="BD1050" s="9" t="e">
        <f>IF(EFB!$S1050=Table1[[#This Row],[SeriesEpisodeTitle]],"Yes","No")</f>
        <v>#VALUE!</v>
      </c>
      <c r="BE1050" s="11">
        <f t="shared" si="55"/>
        <v>0</v>
      </c>
      <c r="BF1050" s="11">
        <f t="shared" si="56"/>
        <v>0</v>
      </c>
      <c r="BH1050" s="36"/>
    </row>
    <row r="1051" spans="3:60" x14ac:dyDescent="0.25">
      <c r="C1051" s="35"/>
      <c r="G1051" s="38"/>
      <c r="H1051" s="38"/>
      <c r="I1051" s="38"/>
      <c r="J1051" s="38"/>
      <c r="K1051" s="38"/>
      <c r="L1051" s="39"/>
      <c r="M1051" s="38"/>
      <c r="N1051" s="38"/>
      <c r="O1051" s="38"/>
      <c r="P1051" s="38"/>
      <c r="Q1051" s="38"/>
      <c r="R1051" s="38"/>
      <c r="S1051" s="38"/>
      <c r="BB1051" s="9" t="str">
        <f t="shared" si="54"/>
        <v>Yes</v>
      </c>
      <c r="BC1051" s="9" t="e">
        <f>IF(EFB!$N1051=Table1[[#This Row],[ProgramTitle]],"Yes","No")</f>
        <v>#VALUE!</v>
      </c>
      <c r="BD1051" s="9" t="e">
        <f>IF(EFB!$S1051=Table1[[#This Row],[SeriesEpisodeTitle]],"Yes","No")</f>
        <v>#VALUE!</v>
      </c>
      <c r="BE1051" s="11">
        <f t="shared" si="55"/>
        <v>0</v>
      </c>
      <c r="BF1051" s="11">
        <f t="shared" si="56"/>
        <v>0</v>
      </c>
      <c r="BH1051" s="36"/>
    </row>
    <row r="1052" spans="3:60" x14ac:dyDescent="0.25">
      <c r="C1052" s="35"/>
      <c r="L1052" s="39"/>
      <c r="BB1052" s="9" t="str">
        <f t="shared" si="54"/>
        <v>Yes</v>
      </c>
      <c r="BC1052" s="9" t="e">
        <f>IF(EFB!$N1052=Table1[[#This Row],[ProgramTitle]],"Yes","No")</f>
        <v>#VALUE!</v>
      </c>
      <c r="BD1052" s="9" t="e">
        <f>IF(EFB!$S1052=Table1[[#This Row],[SeriesEpisodeTitle]],"Yes","No")</f>
        <v>#VALUE!</v>
      </c>
      <c r="BE1052" s="11">
        <f t="shared" si="55"/>
        <v>0</v>
      </c>
      <c r="BF1052" s="11">
        <f t="shared" si="56"/>
        <v>0</v>
      </c>
      <c r="BH1052" s="36"/>
    </row>
    <row r="1053" spans="3:60" x14ac:dyDescent="0.25">
      <c r="C1053" s="35"/>
      <c r="G1053" s="38"/>
      <c r="H1053" s="38"/>
      <c r="I1053" s="38"/>
      <c r="J1053" s="38"/>
      <c r="K1053" s="38"/>
      <c r="L1053" s="39"/>
      <c r="M1053" s="38"/>
      <c r="N1053" s="38"/>
      <c r="O1053" s="38"/>
      <c r="P1053" s="38"/>
      <c r="Q1053" s="38"/>
      <c r="R1053" s="38"/>
      <c r="S1053" s="38"/>
      <c r="BB1053" s="9" t="str">
        <f t="shared" si="54"/>
        <v>Yes</v>
      </c>
      <c r="BC1053" s="9" t="e">
        <f>IF(EFB!$N1053=Table1[[#This Row],[ProgramTitle]],"Yes","No")</f>
        <v>#VALUE!</v>
      </c>
      <c r="BD1053" s="9" t="e">
        <f>IF(EFB!$S1053=Table1[[#This Row],[SeriesEpisodeTitle]],"Yes","No")</f>
        <v>#VALUE!</v>
      </c>
      <c r="BE1053" s="11">
        <f t="shared" si="55"/>
        <v>0</v>
      </c>
      <c r="BF1053" s="11">
        <f t="shared" si="56"/>
        <v>0</v>
      </c>
      <c r="BH1053" s="36"/>
    </row>
    <row r="1054" spans="3:60" x14ac:dyDescent="0.25">
      <c r="C1054" s="35"/>
      <c r="L1054" s="39"/>
      <c r="BB1054" s="9" t="str">
        <f t="shared" si="54"/>
        <v>Yes</v>
      </c>
      <c r="BC1054" s="9" t="e">
        <f>IF(EFB!$N1054=Table1[[#This Row],[ProgramTitle]],"Yes","No")</f>
        <v>#VALUE!</v>
      </c>
      <c r="BD1054" s="9" t="e">
        <f>IF(EFB!$S1054=Table1[[#This Row],[SeriesEpisodeTitle]],"Yes","No")</f>
        <v>#VALUE!</v>
      </c>
      <c r="BE1054" s="11">
        <f t="shared" si="55"/>
        <v>0</v>
      </c>
      <c r="BF1054" s="11">
        <f t="shared" si="56"/>
        <v>0</v>
      </c>
      <c r="BH1054" s="36"/>
    </row>
    <row r="1055" spans="3:60" x14ac:dyDescent="0.25">
      <c r="C1055" s="35"/>
      <c r="G1055" s="38"/>
      <c r="H1055" s="38"/>
      <c r="I1055" s="38"/>
      <c r="J1055" s="38"/>
      <c r="K1055" s="38"/>
      <c r="L1055" s="39"/>
      <c r="M1055" s="38"/>
      <c r="N1055" s="38"/>
      <c r="O1055" s="38"/>
      <c r="P1055" s="38"/>
      <c r="Q1055" s="38"/>
      <c r="R1055" s="38"/>
      <c r="S1055" s="38"/>
      <c r="BB1055" s="9" t="str">
        <f t="shared" si="54"/>
        <v>Yes</v>
      </c>
      <c r="BC1055" s="9" t="e">
        <f>IF(EFB!$N1055=Table1[[#This Row],[ProgramTitle]],"Yes","No")</f>
        <v>#VALUE!</v>
      </c>
      <c r="BD1055" s="9" t="e">
        <f>IF(EFB!$S1055=Table1[[#This Row],[SeriesEpisodeTitle]],"Yes","No")</f>
        <v>#VALUE!</v>
      </c>
      <c r="BE1055" s="11">
        <f t="shared" si="55"/>
        <v>0</v>
      </c>
      <c r="BF1055" s="11">
        <f t="shared" si="56"/>
        <v>0</v>
      </c>
      <c r="BH1055" s="36"/>
    </row>
    <row r="1056" spans="3:60" x14ac:dyDescent="0.25">
      <c r="C1056" s="35"/>
      <c r="L1056" s="39"/>
      <c r="BB1056" s="9" t="str">
        <f t="shared" si="54"/>
        <v>Yes</v>
      </c>
      <c r="BC1056" s="9" t="e">
        <f>IF(EFB!$N1056=Table1[[#This Row],[ProgramTitle]],"Yes","No")</f>
        <v>#VALUE!</v>
      </c>
      <c r="BD1056" s="9" t="e">
        <f>IF(EFB!$S1056=Table1[[#This Row],[SeriesEpisodeTitle]],"Yes","No")</f>
        <v>#VALUE!</v>
      </c>
      <c r="BE1056" s="11">
        <f t="shared" si="55"/>
        <v>0</v>
      </c>
      <c r="BF1056" s="11">
        <f t="shared" si="56"/>
        <v>0</v>
      </c>
      <c r="BH1056" s="36"/>
    </row>
    <row r="1057" spans="3:60" x14ac:dyDescent="0.25">
      <c r="C1057" s="35"/>
      <c r="G1057" s="38"/>
      <c r="H1057" s="38"/>
      <c r="I1057" s="38"/>
      <c r="J1057" s="38"/>
      <c r="K1057" s="38"/>
      <c r="L1057" s="39"/>
      <c r="M1057" s="38"/>
      <c r="N1057" s="38"/>
      <c r="O1057" s="38"/>
      <c r="P1057" s="38"/>
      <c r="Q1057" s="38"/>
      <c r="R1057" s="38"/>
      <c r="S1057" s="38"/>
      <c r="BB1057" s="9" t="str">
        <f t="shared" si="54"/>
        <v>Yes</v>
      </c>
      <c r="BC1057" s="9" t="e">
        <f>IF(EFB!$N1057=Table1[[#This Row],[ProgramTitle]],"Yes","No")</f>
        <v>#VALUE!</v>
      </c>
      <c r="BD1057" s="9" t="e">
        <f>IF(EFB!$S1057=Table1[[#This Row],[SeriesEpisodeTitle]],"Yes","No")</f>
        <v>#VALUE!</v>
      </c>
      <c r="BE1057" s="11">
        <f t="shared" si="55"/>
        <v>0</v>
      </c>
      <c r="BF1057" s="11">
        <f t="shared" si="56"/>
        <v>0</v>
      </c>
      <c r="BH1057" s="36"/>
    </row>
    <row r="1058" spans="3:60" x14ac:dyDescent="0.25">
      <c r="C1058" s="35"/>
      <c r="L1058" s="39"/>
      <c r="BB1058" s="9" t="str">
        <f t="shared" si="54"/>
        <v>Yes</v>
      </c>
      <c r="BC1058" s="9" t="e">
        <f>IF(EFB!$N1058=Table1[[#This Row],[ProgramTitle]],"Yes","No")</f>
        <v>#VALUE!</v>
      </c>
      <c r="BD1058" s="9" t="e">
        <f>IF(EFB!$S1058=Table1[[#This Row],[SeriesEpisodeTitle]],"Yes","No")</f>
        <v>#VALUE!</v>
      </c>
      <c r="BE1058" s="11">
        <f t="shared" si="55"/>
        <v>0</v>
      </c>
      <c r="BF1058" s="11">
        <f t="shared" si="56"/>
        <v>0</v>
      </c>
      <c r="BH1058" s="36"/>
    </row>
    <row r="1059" spans="3:60" x14ac:dyDescent="0.25">
      <c r="C1059" s="35"/>
      <c r="G1059" s="38"/>
      <c r="H1059" s="38"/>
      <c r="I1059" s="38"/>
      <c r="J1059" s="38"/>
      <c r="K1059" s="38"/>
      <c r="L1059" s="39"/>
      <c r="M1059" s="38"/>
      <c r="N1059" s="38"/>
      <c r="O1059" s="38"/>
      <c r="P1059" s="38"/>
      <c r="Q1059" s="38"/>
      <c r="R1059" s="38"/>
      <c r="S1059" s="38"/>
      <c r="BB1059" s="9" t="str">
        <f t="shared" si="54"/>
        <v>Yes</v>
      </c>
      <c r="BC1059" s="9" t="e">
        <f>IF(EFB!$N1059=Table1[[#This Row],[ProgramTitle]],"Yes","No")</f>
        <v>#VALUE!</v>
      </c>
      <c r="BD1059" s="9" t="e">
        <f>IF(EFB!$S1059=Table1[[#This Row],[SeriesEpisodeTitle]],"Yes","No")</f>
        <v>#VALUE!</v>
      </c>
      <c r="BE1059" s="11">
        <f t="shared" si="55"/>
        <v>0</v>
      </c>
      <c r="BF1059" s="11">
        <f t="shared" si="56"/>
        <v>0</v>
      </c>
      <c r="BH1059" s="36"/>
    </row>
    <row r="1060" spans="3:60" x14ac:dyDescent="0.25">
      <c r="C1060" s="35"/>
      <c r="L1060" s="39"/>
      <c r="BB1060" s="9" t="str">
        <f t="shared" si="54"/>
        <v>Yes</v>
      </c>
      <c r="BC1060" s="9" t="e">
        <f>IF(EFB!$N1060=Table1[[#This Row],[ProgramTitle]],"Yes","No")</f>
        <v>#VALUE!</v>
      </c>
      <c r="BD1060" s="9" t="e">
        <f>IF(EFB!$S1060=Table1[[#This Row],[SeriesEpisodeTitle]],"Yes","No")</f>
        <v>#VALUE!</v>
      </c>
      <c r="BE1060" s="11">
        <f t="shared" si="55"/>
        <v>0</v>
      </c>
      <c r="BF1060" s="11">
        <f t="shared" si="56"/>
        <v>0</v>
      </c>
      <c r="BH1060" s="36"/>
    </row>
    <row r="1061" spans="3:60" x14ac:dyDescent="0.25">
      <c r="C1061" s="35"/>
      <c r="G1061" s="38"/>
      <c r="H1061" s="38"/>
      <c r="I1061" s="38"/>
      <c r="J1061" s="38"/>
      <c r="K1061" s="38"/>
      <c r="L1061" s="39"/>
      <c r="M1061" s="38"/>
      <c r="N1061" s="38"/>
      <c r="O1061" s="38"/>
      <c r="P1061" s="38"/>
      <c r="Q1061" s="38"/>
      <c r="R1061" s="38"/>
      <c r="S1061" s="38"/>
      <c r="BB1061" s="9" t="str">
        <f t="shared" si="54"/>
        <v>Yes</v>
      </c>
      <c r="BC1061" s="9" t="e">
        <f>IF(EFB!$N1061=Table1[[#This Row],[ProgramTitle]],"Yes","No")</f>
        <v>#VALUE!</v>
      </c>
      <c r="BD1061" s="9" t="e">
        <f>IF(EFB!$S1061=Table1[[#This Row],[SeriesEpisodeTitle]],"Yes","No")</f>
        <v>#VALUE!</v>
      </c>
      <c r="BE1061" s="11">
        <f t="shared" si="55"/>
        <v>0</v>
      </c>
      <c r="BF1061" s="11">
        <f t="shared" si="56"/>
        <v>0</v>
      </c>
      <c r="BH1061" s="36"/>
    </row>
    <row r="1062" spans="3:60" x14ac:dyDescent="0.25">
      <c r="C1062" s="35"/>
      <c r="L1062" s="39"/>
      <c r="BB1062" s="9" t="str">
        <f t="shared" si="54"/>
        <v>Yes</v>
      </c>
      <c r="BC1062" s="9" t="e">
        <f>IF(EFB!$N1062=Table1[[#This Row],[ProgramTitle]],"Yes","No")</f>
        <v>#VALUE!</v>
      </c>
      <c r="BD1062" s="9" t="e">
        <f>IF(EFB!$S1062=Table1[[#This Row],[SeriesEpisodeTitle]],"Yes","No")</f>
        <v>#VALUE!</v>
      </c>
      <c r="BE1062" s="11">
        <f t="shared" si="55"/>
        <v>0</v>
      </c>
      <c r="BF1062" s="11">
        <f t="shared" si="56"/>
        <v>0</v>
      </c>
      <c r="BH1062" s="36"/>
    </row>
    <row r="1063" spans="3:60" x14ac:dyDescent="0.25">
      <c r="C1063" s="35"/>
      <c r="G1063" s="38"/>
      <c r="H1063" s="38"/>
      <c r="I1063" s="38"/>
      <c r="J1063" s="38"/>
      <c r="K1063" s="38"/>
      <c r="L1063" s="39"/>
      <c r="M1063" s="38"/>
      <c r="N1063" s="38"/>
      <c r="O1063" s="38"/>
      <c r="P1063" s="38"/>
      <c r="Q1063" s="38"/>
      <c r="R1063" s="38"/>
      <c r="S1063" s="38"/>
      <c r="BB1063" s="9" t="str">
        <f t="shared" si="54"/>
        <v>Yes</v>
      </c>
      <c r="BC1063" s="9" t="e">
        <f>IF(EFB!$N1063=Table1[[#This Row],[ProgramTitle]],"Yes","No")</f>
        <v>#VALUE!</v>
      </c>
      <c r="BD1063" s="9" t="e">
        <f>IF(EFB!$S1063=Table1[[#This Row],[SeriesEpisodeTitle]],"Yes","No")</f>
        <v>#VALUE!</v>
      </c>
      <c r="BE1063" s="11">
        <f t="shared" si="55"/>
        <v>0</v>
      </c>
      <c r="BF1063" s="11">
        <f t="shared" si="56"/>
        <v>0</v>
      </c>
      <c r="BH1063" s="36"/>
    </row>
    <row r="1064" spans="3:60" x14ac:dyDescent="0.25">
      <c r="C1064" s="35"/>
      <c r="L1064" s="39"/>
      <c r="BB1064" s="9" t="str">
        <f t="shared" si="54"/>
        <v>Yes</v>
      </c>
      <c r="BC1064" s="9" t="e">
        <f>IF(EFB!$N1064=Table1[[#This Row],[ProgramTitle]],"Yes","No")</f>
        <v>#VALUE!</v>
      </c>
      <c r="BD1064" s="9" t="e">
        <f>IF(EFB!$S1064=Table1[[#This Row],[SeriesEpisodeTitle]],"Yes","No")</f>
        <v>#VALUE!</v>
      </c>
      <c r="BE1064" s="11">
        <f t="shared" si="55"/>
        <v>0</v>
      </c>
      <c r="BF1064" s="11">
        <f t="shared" si="56"/>
        <v>0</v>
      </c>
      <c r="BH1064" s="36"/>
    </row>
    <row r="1065" spans="3:60" x14ac:dyDescent="0.25">
      <c r="C1065" s="35"/>
      <c r="G1065" s="38"/>
      <c r="H1065" s="38"/>
      <c r="I1065" s="38"/>
      <c r="J1065" s="38"/>
      <c r="K1065" s="38"/>
      <c r="L1065" s="39"/>
      <c r="M1065" s="38"/>
      <c r="N1065" s="38"/>
      <c r="O1065" s="38"/>
      <c r="P1065" s="38"/>
      <c r="Q1065" s="38"/>
      <c r="R1065" s="38"/>
      <c r="S1065" s="38"/>
      <c r="BB1065" s="9" t="str">
        <f t="shared" si="54"/>
        <v>Yes</v>
      </c>
      <c r="BC1065" s="9" t="e">
        <f>IF(EFB!$N1065=Table1[[#This Row],[ProgramTitle]],"Yes","No")</f>
        <v>#VALUE!</v>
      </c>
      <c r="BD1065" s="9" t="e">
        <f>IF(EFB!$S1065=Table1[[#This Row],[SeriesEpisodeTitle]],"Yes","No")</f>
        <v>#VALUE!</v>
      </c>
      <c r="BE1065" s="11">
        <f t="shared" si="55"/>
        <v>0</v>
      </c>
      <c r="BF1065" s="11">
        <f t="shared" si="56"/>
        <v>0</v>
      </c>
      <c r="BH1065" s="36"/>
    </row>
    <row r="1066" spans="3:60" x14ac:dyDescent="0.25">
      <c r="C1066" s="35"/>
      <c r="L1066" s="39"/>
      <c r="BB1066" s="9" t="str">
        <f t="shared" si="54"/>
        <v>Yes</v>
      </c>
      <c r="BC1066" s="9" t="e">
        <f>IF(EFB!$N1066=Table1[[#This Row],[ProgramTitle]],"Yes","No")</f>
        <v>#VALUE!</v>
      </c>
      <c r="BD1066" s="9" t="e">
        <f>IF(EFB!$S1066=Table1[[#This Row],[SeriesEpisodeTitle]],"Yes","No")</f>
        <v>#VALUE!</v>
      </c>
      <c r="BE1066" s="11">
        <f t="shared" si="55"/>
        <v>0</v>
      </c>
      <c r="BF1066" s="11">
        <f t="shared" si="56"/>
        <v>0</v>
      </c>
      <c r="BH1066" s="36"/>
    </row>
    <row r="1067" spans="3:60" x14ac:dyDescent="0.25">
      <c r="C1067" s="35"/>
      <c r="G1067" s="38"/>
      <c r="H1067" s="38"/>
      <c r="I1067" s="38"/>
      <c r="J1067" s="38"/>
      <c r="K1067" s="38"/>
      <c r="L1067" s="39"/>
      <c r="M1067" s="38"/>
      <c r="N1067" s="38"/>
      <c r="O1067" s="38"/>
      <c r="P1067" s="38"/>
      <c r="Q1067" s="38"/>
      <c r="R1067" s="38"/>
      <c r="S1067" s="38"/>
      <c r="BB1067" s="9" t="str">
        <f t="shared" si="54"/>
        <v>Yes</v>
      </c>
      <c r="BC1067" s="9" t="e">
        <f>IF(EFB!$N1067=Table1[[#This Row],[ProgramTitle]],"Yes","No")</f>
        <v>#VALUE!</v>
      </c>
      <c r="BD1067" s="9" t="e">
        <f>IF(EFB!$S1067=Table1[[#This Row],[SeriesEpisodeTitle]],"Yes","No")</f>
        <v>#VALUE!</v>
      </c>
      <c r="BE1067" s="11">
        <f t="shared" si="55"/>
        <v>0</v>
      </c>
      <c r="BF1067" s="11">
        <f t="shared" si="56"/>
        <v>0</v>
      </c>
      <c r="BH1067" s="36"/>
    </row>
    <row r="1068" spans="3:60" x14ac:dyDescent="0.25">
      <c r="C1068" s="35"/>
      <c r="L1068" s="39"/>
      <c r="BB1068" s="9" t="str">
        <f t="shared" si="54"/>
        <v>Yes</v>
      </c>
      <c r="BC1068" s="9" t="e">
        <f>IF(EFB!$N1068=Table1[[#This Row],[ProgramTitle]],"Yes","No")</f>
        <v>#VALUE!</v>
      </c>
      <c r="BD1068" s="9" t="e">
        <f>IF(EFB!$S1068=Table1[[#This Row],[SeriesEpisodeTitle]],"Yes","No")</f>
        <v>#VALUE!</v>
      </c>
      <c r="BE1068" s="11">
        <f t="shared" si="55"/>
        <v>0</v>
      </c>
      <c r="BF1068" s="11">
        <f t="shared" si="56"/>
        <v>0</v>
      </c>
      <c r="BH1068" s="36"/>
    </row>
    <row r="1069" spans="3:60" x14ac:dyDescent="0.25">
      <c r="C1069" s="35"/>
      <c r="G1069" s="38"/>
      <c r="H1069" s="38"/>
      <c r="I1069" s="38"/>
      <c r="J1069" s="38"/>
      <c r="K1069" s="38"/>
      <c r="L1069" s="39"/>
      <c r="M1069" s="38"/>
      <c r="N1069" s="38"/>
      <c r="O1069" s="38"/>
      <c r="P1069" s="38"/>
      <c r="Q1069" s="38"/>
      <c r="R1069" s="38"/>
      <c r="S1069" s="38"/>
      <c r="BB1069" s="9" t="str">
        <f t="shared" si="54"/>
        <v>Yes</v>
      </c>
      <c r="BC1069" s="9" t="e">
        <f>IF(EFB!$N1069=Table1[[#This Row],[ProgramTitle]],"Yes","No")</f>
        <v>#VALUE!</v>
      </c>
      <c r="BD1069" s="9" t="e">
        <f>IF(EFB!$S1069=Table1[[#This Row],[SeriesEpisodeTitle]],"Yes","No")</f>
        <v>#VALUE!</v>
      </c>
      <c r="BE1069" s="11">
        <f t="shared" si="55"/>
        <v>0</v>
      </c>
      <c r="BF1069" s="11">
        <f t="shared" si="56"/>
        <v>0</v>
      </c>
      <c r="BH1069" s="36"/>
    </row>
    <row r="1070" spans="3:60" x14ac:dyDescent="0.25">
      <c r="C1070" s="35"/>
      <c r="L1070" s="39"/>
      <c r="BB1070" s="9" t="str">
        <f t="shared" si="54"/>
        <v>Yes</v>
      </c>
      <c r="BC1070" s="9" t="e">
        <f>IF(EFB!$N1070=Table1[[#This Row],[ProgramTitle]],"Yes","No")</f>
        <v>#VALUE!</v>
      </c>
      <c r="BD1070" s="9" t="e">
        <f>IF(EFB!$S1070=Table1[[#This Row],[SeriesEpisodeTitle]],"Yes","No")</f>
        <v>#VALUE!</v>
      </c>
      <c r="BE1070" s="11">
        <f t="shared" si="55"/>
        <v>0</v>
      </c>
      <c r="BF1070" s="11">
        <f t="shared" si="56"/>
        <v>0</v>
      </c>
      <c r="BH1070" s="36"/>
    </row>
    <row r="1071" spans="3:60" x14ac:dyDescent="0.25">
      <c r="C1071" s="35"/>
      <c r="G1071" s="38"/>
      <c r="H1071" s="38"/>
      <c r="I1071" s="38"/>
      <c r="J1071" s="38"/>
      <c r="K1071" s="38"/>
      <c r="L1071" s="39"/>
      <c r="M1071" s="38"/>
      <c r="N1071" s="38"/>
      <c r="O1071" s="38"/>
      <c r="P1071" s="38"/>
      <c r="Q1071" s="38"/>
      <c r="R1071" s="38"/>
      <c r="S1071" s="38"/>
      <c r="BB1071" s="9" t="str">
        <f t="shared" ref="BB1071:BB1119" si="57">IF(BE1071=BF1071,"Yes","No")</f>
        <v>Yes</v>
      </c>
      <c r="BC1071" s="9" t="e">
        <f>IF(EFB!$N1071=Table1[[#This Row],[ProgramTitle]],"Yes","No")</f>
        <v>#VALUE!</v>
      </c>
      <c r="BD1071" s="9" t="e">
        <f>IF(EFB!$S1071=Table1[[#This Row],[SeriesEpisodeTitle]],"Yes","No")</f>
        <v>#VALUE!</v>
      </c>
      <c r="BE1071" s="11">
        <f t="shared" si="55"/>
        <v>0</v>
      </c>
      <c r="BF1071" s="11">
        <f t="shared" si="56"/>
        <v>0</v>
      </c>
      <c r="BH1071" s="36"/>
    </row>
    <row r="1072" spans="3:60" x14ac:dyDescent="0.25">
      <c r="C1072" s="35"/>
      <c r="L1072" s="39"/>
      <c r="BB1072" s="9" t="str">
        <f t="shared" si="57"/>
        <v>Yes</v>
      </c>
      <c r="BC1072" s="9" t="e">
        <f>IF(EFB!$N1072=Table1[[#This Row],[ProgramTitle]],"Yes","No")</f>
        <v>#VALUE!</v>
      </c>
      <c r="BD1072" s="9" t="e">
        <f>IF(EFB!$S1072=Table1[[#This Row],[SeriesEpisodeTitle]],"Yes","No")</f>
        <v>#VALUE!</v>
      </c>
      <c r="BE1072" s="11">
        <f t="shared" si="55"/>
        <v>0</v>
      </c>
      <c r="BF1072" s="11">
        <f t="shared" si="56"/>
        <v>0</v>
      </c>
      <c r="BH1072" s="36"/>
    </row>
    <row r="1073" spans="3:60" x14ac:dyDescent="0.25">
      <c r="C1073" s="35"/>
      <c r="G1073" s="38"/>
      <c r="H1073" s="38"/>
      <c r="I1073" s="38"/>
      <c r="J1073" s="38"/>
      <c r="K1073" s="38"/>
      <c r="L1073" s="39"/>
      <c r="M1073" s="38"/>
      <c r="N1073" s="38"/>
      <c r="O1073" s="38"/>
      <c r="P1073" s="38"/>
      <c r="Q1073" s="38"/>
      <c r="R1073" s="38"/>
      <c r="S1073" s="38"/>
      <c r="BB1073" s="9" t="str">
        <f t="shared" si="57"/>
        <v>Yes</v>
      </c>
      <c r="BC1073" s="9" t="e">
        <f>IF(EFB!$N1073=Table1[[#This Row],[ProgramTitle]],"Yes","No")</f>
        <v>#VALUE!</v>
      </c>
      <c r="BD1073" s="9" t="e">
        <f>IF(EFB!$S1073=Table1[[#This Row],[SeriesEpisodeTitle]],"Yes","No")</f>
        <v>#VALUE!</v>
      </c>
      <c r="BE1073" s="11">
        <f t="shared" si="55"/>
        <v>0</v>
      </c>
      <c r="BF1073" s="11">
        <f t="shared" si="56"/>
        <v>0</v>
      </c>
      <c r="BH1073" s="36"/>
    </row>
    <row r="1074" spans="3:60" x14ac:dyDescent="0.25">
      <c r="C1074" s="35"/>
      <c r="L1074" s="39"/>
      <c r="BB1074" s="9" t="str">
        <f t="shared" si="57"/>
        <v>Yes</v>
      </c>
      <c r="BC1074" s="9" t="e">
        <f>IF(EFB!$N1074=Table1[[#This Row],[ProgramTitle]],"Yes","No")</f>
        <v>#VALUE!</v>
      </c>
      <c r="BD1074" s="9" t="e">
        <f>IF(EFB!$S1074=Table1[[#This Row],[SeriesEpisodeTitle]],"Yes","No")</f>
        <v>#VALUE!</v>
      </c>
      <c r="BE1074" s="11">
        <f t="shared" si="55"/>
        <v>0</v>
      </c>
      <c r="BF1074" s="11">
        <f t="shared" si="56"/>
        <v>0</v>
      </c>
      <c r="BH1074" s="36"/>
    </row>
    <row r="1075" spans="3:60" x14ac:dyDescent="0.25">
      <c r="C1075" s="35"/>
      <c r="G1075" s="38"/>
      <c r="H1075" s="38"/>
      <c r="I1075" s="38"/>
      <c r="J1075" s="38"/>
      <c r="K1075" s="38"/>
      <c r="L1075" s="39"/>
      <c r="M1075" s="38"/>
      <c r="N1075" s="38"/>
      <c r="O1075" s="38"/>
      <c r="P1075" s="38"/>
      <c r="Q1075" s="38"/>
      <c r="R1075" s="38"/>
      <c r="S1075" s="38"/>
      <c r="BB1075" s="9" t="str">
        <f t="shared" si="57"/>
        <v>Yes</v>
      </c>
      <c r="BC1075" s="9" t="e">
        <f>IF(EFB!$N1075=Table1[[#This Row],[ProgramTitle]],"Yes","No")</f>
        <v>#VALUE!</v>
      </c>
      <c r="BD1075" s="9" t="e">
        <f>IF(EFB!$S1075=Table1[[#This Row],[SeriesEpisodeTitle]],"Yes","No")</f>
        <v>#VALUE!</v>
      </c>
      <c r="BE1075" s="11">
        <f t="shared" si="55"/>
        <v>0</v>
      </c>
      <c r="BF1075" s="11">
        <f t="shared" si="56"/>
        <v>0</v>
      </c>
      <c r="BH1075" s="36"/>
    </row>
    <row r="1076" spans="3:60" x14ac:dyDescent="0.25">
      <c r="C1076" s="35"/>
      <c r="L1076" s="39"/>
      <c r="BB1076" s="9" t="str">
        <f t="shared" si="57"/>
        <v>Yes</v>
      </c>
      <c r="BC1076" s="9" t="e">
        <f>IF(EFB!$N1076=Table1[[#This Row],[ProgramTitle]],"Yes","No")</f>
        <v>#VALUE!</v>
      </c>
      <c r="BD1076" s="9" t="e">
        <f>IF(EFB!$S1076=Table1[[#This Row],[SeriesEpisodeTitle]],"Yes","No")</f>
        <v>#VALUE!</v>
      </c>
      <c r="BE1076" s="11">
        <f t="shared" si="55"/>
        <v>0</v>
      </c>
      <c r="BF1076" s="11">
        <f t="shared" si="56"/>
        <v>0</v>
      </c>
      <c r="BH1076" s="36"/>
    </row>
    <row r="1077" spans="3:60" x14ac:dyDescent="0.25">
      <c r="C1077" s="35"/>
      <c r="G1077" s="38"/>
      <c r="H1077" s="38"/>
      <c r="I1077" s="38"/>
      <c r="J1077" s="38"/>
      <c r="K1077" s="38"/>
      <c r="L1077" s="39"/>
      <c r="M1077" s="38"/>
      <c r="N1077" s="38"/>
      <c r="O1077" s="38"/>
      <c r="P1077" s="38"/>
      <c r="Q1077" s="38"/>
      <c r="R1077" s="38"/>
      <c r="S1077" s="38"/>
      <c r="BB1077" s="9" t="str">
        <f t="shared" si="57"/>
        <v>Yes</v>
      </c>
      <c r="BC1077" s="9" t="e">
        <f>IF(EFB!$N1077=Table1[[#This Row],[ProgramTitle]],"Yes","No")</f>
        <v>#VALUE!</v>
      </c>
      <c r="BD1077" s="9" t="e">
        <f>IF(EFB!$S1077=Table1[[#This Row],[SeriesEpisodeTitle]],"Yes","No")</f>
        <v>#VALUE!</v>
      </c>
      <c r="BE1077" s="11">
        <f t="shared" si="55"/>
        <v>0</v>
      </c>
      <c r="BF1077" s="11">
        <f t="shared" si="56"/>
        <v>0</v>
      </c>
      <c r="BH1077" s="36"/>
    </row>
    <row r="1078" spans="3:60" x14ac:dyDescent="0.25">
      <c r="C1078" s="35"/>
      <c r="L1078" s="39"/>
      <c r="BB1078" s="9" t="str">
        <f t="shared" si="57"/>
        <v>Yes</v>
      </c>
      <c r="BC1078" s="9" t="e">
        <f>IF(EFB!$N1078=Table1[[#This Row],[ProgramTitle]],"Yes","No")</f>
        <v>#VALUE!</v>
      </c>
      <c r="BD1078" s="9" t="e">
        <f>IF(EFB!$S1078=Table1[[#This Row],[SeriesEpisodeTitle]],"Yes","No")</f>
        <v>#VALUE!</v>
      </c>
      <c r="BE1078" s="11">
        <f t="shared" si="55"/>
        <v>0</v>
      </c>
      <c r="BF1078" s="11">
        <f t="shared" si="56"/>
        <v>0</v>
      </c>
      <c r="BH1078" s="36"/>
    </row>
    <row r="1079" spans="3:60" x14ac:dyDescent="0.25">
      <c r="C1079" s="35"/>
      <c r="G1079" s="38"/>
      <c r="H1079" s="38"/>
      <c r="I1079" s="38"/>
      <c r="J1079" s="38"/>
      <c r="K1079" s="38"/>
      <c r="L1079" s="39"/>
      <c r="M1079" s="38"/>
      <c r="N1079" s="38"/>
      <c r="O1079" s="38"/>
      <c r="P1079" s="38"/>
      <c r="Q1079" s="38"/>
      <c r="R1079" s="38"/>
      <c r="S1079" s="38"/>
      <c r="BB1079" s="9" t="str">
        <f t="shared" si="57"/>
        <v>Yes</v>
      </c>
      <c r="BC1079" s="9" t="e">
        <f>IF(EFB!$N1079=Table1[[#This Row],[ProgramTitle]],"Yes","No")</f>
        <v>#VALUE!</v>
      </c>
      <c r="BD1079" s="9" t="e">
        <f>IF(EFB!$S1079=Table1[[#This Row],[SeriesEpisodeTitle]],"Yes","No")</f>
        <v>#VALUE!</v>
      </c>
      <c r="BE1079" s="11">
        <f t="shared" si="55"/>
        <v>0</v>
      </c>
      <c r="BF1079" s="11">
        <f t="shared" si="56"/>
        <v>0</v>
      </c>
      <c r="BH1079" s="36"/>
    </row>
    <row r="1080" spans="3:60" x14ac:dyDescent="0.25">
      <c r="C1080" s="35"/>
      <c r="L1080" s="39"/>
      <c r="BB1080" s="9" t="str">
        <f t="shared" si="57"/>
        <v>Yes</v>
      </c>
      <c r="BC1080" s="9" t="e">
        <f>IF(EFB!$N1080=Table1[[#This Row],[ProgramTitle]],"Yes","No")</f>
        <v>#VALUE!</v>
      </c>
      <c r="BD1080" s="9" t="e">
        <f>IF(EFB!$S1080=Table1[[#This Row],[SeriesEpisodeTitle]],"Yes","No")</f>
        <v>#VALUE!</v>
      </c>
      <c r="BE1080" s="11">
        <f t="shared" si="55"/>
        <v>0</v>
      </c>
      <c r="BF1080" s="11">
        <f t="shared" si="56"/>
        <v>0</v>
      </c>
      <c r="BH1080" s="36"/>
    </row>
    <row r="1081" spans="3:60" x14ac:dyDescent="0.25">
      <c r="C1081" s="35"/>
      <c r="G1081" s="38"/>
      <c r="H1081" s="38"/>
      <c r="I1081" s="38"/>
      <c r="J1081" s="38"/>
      <c r="K1081" s="38"/>
      <c r="L1081" s="39"/>
      <c r="M1081" s="38"/>
      <c r="N1081" s="38"/>
      <c r="O1081" s="38"/>
      <c r="P1081" s="38"/>
      <c r="Q1081" s="38"/>
      <c r="R1081" s="38"/>
      <c r="S1081" s="38"/>
      <c r="BB1081" s="9" t="str">
        <f t="shared" si="57"/>
        <v>Yes</v>
      </c>
      <c r="BC1081" s="9" t="e">
        <f>IF(EFB!$N1081=Table1[[#This Row],[ProgramTitle]],"Yes","No")</f>
        <v>#VALUE!</v>
      </c>
      <c r="BD1081" s="9" t="e">
        <f>IF(EFB!$S1081=Table1[[#This Row],[SeriesEpisodeTitle]],"Yes","No")</f>
        <v>#VALUE!</v>
      </c>
      <c r="BE1081" s="11">
        <f t="shared" si="55"/>
        <v>0</v>
      </c>
      <c r="BF1081" s="11">
        <f t="shared" si="56"/>
        <v>0</v>
      </c>
      <c r="BH1081" s="36"/>
    </row>
    <row r="1082" spans="3:60" x14ac:dyDescent="0.25">
      <c r="C1082" s="35"/>
      <c r="L1082" s="39"/>
      <c r="BB1082" s="9" t="str">
        <f t="shared" si="57"/>
        <v>Yes</v>
      </c>
      <c r="BC1082" s="9" t="e">
        <f>IF(EFB!$N1082=Table1[[#This Row],[ProgramTitle]],"Yes","No")</f>
        <v>#VALUE!</v>
      </c>
      <c r="BD1082" s="9" t="e">
        <f>IF(EFB!$S1082=Table1[[#This Row],[SeriesEpisodeTitle]],"Yes","No")</f>
        <v>#VALUE!</v>
      </c>
      <c r="BE1082" s="11">
        <f t="shared" si="55"/>
        <v>0</v>
      </c>
      <c r="BF1082" s="11">
        <f t="shared" si="56"/>
        <v>0</v>
      </c>
      <c r="BH1082" s="36"/>
    </row>
    <row r="1083" spans="3:60" x14ac:dyDescent="0.25">
      <c r="C1083" s="35"/>
      <c r="G1083" s="38"/>
      <c r="H1083" s="38"/>
      <c r="I1083" s="38"/>
      <c r="J1083" s="38"/>
      <c r="K1083" s="38"/>
      <c r="L1083" s="39"/>
      <c r="M1083" s="38"/>
      <c r="N1083" s="38"/>
      <c r="O1083" s="38"/>
      <c r="P1083" s="38"/>
      <c r="Q1083" s="38"/>
      <c r="R1083" s="38"/>
      <c r="S1083" s="38"/>
      <c r="BB1083" s="9" t="str">
        <f t="shared" si="57"/>
        <v>Yes</v>
      </c>
      <c r="BC1083" s="9" t="e">
        <f>IF(EFB!$N1083=Table1[[#This Row],[ProgramTitle]],"Yes","No")</f>
        <v>#VALUE!</v>
      </c>
      <c r="BD1083" s="9" t="e">
        <f>IF(EFB!$S1083=Table1[[#This Row],[SeriesEpisodeTitle]],"Yes","No")</f>
        <v>#VALUE!</v>
      </c>
      <c r="BE1083" s="11">
        <f t="shared" si="55"/>
        <v>0</v>
      </c>
      <c r="BF1083" s="11">
        <f t="shared" si="56"/>
        <v>0</v>
      </c>
      <c r="BH1083" s="36"/>
    </row>
    <row r="1084" spans="3:60" x14ac:dyDescent="0.25">
      <c r="C1084" s="35"/>
      <c r="L1084" s="39"/>
      <c r="BB1084" s="9" t="str">
        <f t="shared" si="57"/>
        <v>Yes</v>
      </c>
      <c r="BC1084" s="9" t="e">
        <f>IF(EFB!$N1084=Table1[[#This Row],[ProgramTitle]],"Yes","No")</f>
        <v>#VALUE!</v>
      </c>
      <c r="BD1084" s="9" t="e">
        <f>IF(EFB!$S1084=Table1[[#This Row],[SeriesEpisodeTitle]],"Yes","No")</f>
        <v>#VALUE!</v>
      </c>
      <c r="BE1084" s="11">
        <f t="shared" si="55"/>
        <v>0</v>
      </c>
      <c r="BF1084" s="11">
        <f t="shared" si="56"/>
        <v>0</v>
      </c>
      <c r="BH1084" s="36"/>
    </row>
    <row r="1085" spans="3:60" x14ac:dyDescent="0.25">
      <c r="C1085" s="35"/>
      <c r="G1085" s="38"/>
      <c r="H1085" s="38"/>
      <c r="I1085" s="38"/>
      <c r="J1085" s="38"/>
      <c r="K1085" s="38"/>
      <c r="L1085" s="39"/>
      <c r="M1085" s="38"/>
      <c r="N1085" s="38"/>
      <c r="O1085" s="38"/>
      <c r="P1085" s="38"/>
      <c r="Q1085" s="38"/>
      <c r="R1085" s="38"/>
      <c r="S1085" s="38"/>
      <c r="BB1085" s="9" t="str">
        <f t="shared" si="57"/>
        <v>Yes</v>
      </c>
      <c r="BC1085" s="9" t="e">
        <f>IF(EFB!$N1085=Table1[[#This Row],[ProgramTitle]],"Yes","No")</f>
        <v>#VALUE!</v>
      </c>
      <c r="BD1085" s="9" t="e">
        <f>IF(EFB!$S1085=Table1[[#This Row],[SeriesEpisodeTitle]],"Yes","No")</f>
        <v>#VALUE!</v>
      </c>
      <c r="BE1085" s="11">
        <f t="shared" si="55"/>
        <v>0</v>
      </c>
      <c r="BF1085" s="11">
        <f t="shared" si="56"/>
        <v>0</v>
      </c>
      <c r="BH1085" s="36"/>
    </row>
    <row r="1086" spans="3:60" x14ac:dyDescent="0.25">
      <c r="C1086" s="35"/>
      <c r="L1086" s="39"/>
      <c r="BB1086" s="9" t="str">
        <f t="shared" si="57"/>
        <v>Yes</v>
      </c>
      <c r="BC1086" s="9" t="e">
        <f>IF(EFB!$N1086=Table1[[#This Row],[ProgramTitle]],"Yes","No")</f>
        <v>#VALUE!</v>
      </c>
      <c r="BD1086" s="9" t="e">
        <f>IF(EFB!$S1086=Table1[[#This Row],[SeriesEpisodeTitle]],"Yes","No")</f>
        <v>#VALUE!</v>
      </c>
      <c r="BE1086" s="11">
        <f t="shared" si="55"/>
        <v>0</v>
      </c>
      <c r="BF1086" s="11">
        <f t="shared" si="56"/>
        <v>0</v>
      </c>
      <c r="BH1086" s="36"/>
    </row>
    <row r="1087" spans="3:60" x14ac:dyDescent="0.25">
      <c r="C1087" s="35"/>
      <c r="G1087" s="38"/>
      <c r="H1087" s="38"/>
      <c r="I1087" s="38"/>
      <c r="J1087" s="38"/>
      <c r="K1087" s="38"/>
      <c r="L1087" s="39"/>
      <c r="M1087" s="38"/>
      <c r="N1087" s="38"/>
      <c r="O1087" s="38"/>
      <c r="P1087" s="38"/>
      <c r="Q1087" s="38"/>
      <c r="R1087" s="38"/>
      <c r="S1087" s="38"/>
      <c r="BB1087" s="9" t="str">
        <f t="shared" si="57"/>
        <v>Yes</v>
      </c>
      <c r="BC1087" s="9" t="e">
        <f>IF(EFB!$N1087=Table1[[#This Row],[ProgramTitle]],"Yes","No")</f>
        <v>#VALUE!</v>
      </c>
      <c r="BD1087" s="9" t="e">
        <f>IF(EFB!$S1087=Table1[[#This Row],[SeriesEpisodeTitle]],"Yes","No")</f>
        <v>#VALUE!</v>
      </c>
      <c r="BE1087" s="11">
        <f t="shared" si="55"/>
        <v>0</v>
      </c>
      <c r="BF1087" s="11">
        <f t="shared" si="56"/>
        <v>0</v>
      </c>
      <c r="BH1087" s="36"/>
    </row>
    <row r="1088" spans="3:60" x14ac:dyDescent="0.25">
      <c r="C1088" s="35"/>
      <c r="L1088" s="39"/>
      <c r="BB1088" s="9" t="str">
        <f t="shared" si="57"/>
        <v>Yes</v>
      </c>
      <c r="BC1088" s="9" t="e">
        <f>IF(EFB!$N1088=Table1[[#This Row],[ProgramTitle]],"Yes","No")</f>
        <v>#VALUE!</v>
      </c>
      <c r="BD1088" s="9" t="e">
        <f>IF(EFB!$S1088=Table1[[#This Row],[SeriesEpisodeTitle]],"Yes","No")</f>
        <v>#VALUE!</v>
      </c>
      <c r="BE1088" s="11">
        <f t="shared" si="55"/>
        <v>0</v>
      </c>
      <c r="BF1088" s="11">
        <f t="shared" si="56"/>
        <v>0</v>
      </c>
      <c r="BH1088" s="36"/>
    </row>
    <row r="1089" spans="3:60" x14ac:dyDescent="0.25">
      <c r="C1089" s="35"/>
      <c r="G1089" s="38"/>
      <c r="H1089" s="38"/>
      <c r="I1089" s="38"/>
      <c r="J1089" s="38"/>
      <c r="K1089" s="38"/>
      <c r="L1089" s="39"/>
      <c r="M1089" s="38"/>
      <c r="N1089" s="38"/>
      <c r="O1089" s="38"/>
      <c r="P1089" s="38"/>
      <c r="Q1089" s="38"/>
      <c r="R1089" s="38"/>
      <c r="S1089" s="38"/>
      <c r="BB1089" s="9" t="str">
        <f t="shared" si="57"/>
        <v>Yes</v>
      </c>
      <c r="BC1089" s="9" t="e">
        <f>IF(EFB!$N1089=Table1[[#This Row],[ProgramTitle]],"Yes","No")</f>
        <v>#VALUE!</v>
      </c>
      <c r="BD1089" s="9" t="e">
        <f>IF(EFB!$S1089=Table1[[#This Row],[SeriesEpisodeTitle]],"Yes","No")</f>
        <v>#VALUE!</v>
      </c>
      <c r="BE1089" s="11">
        <f t="shared" si="55"/>
        <v>0</v>
      </c>
      <c r="BF1089" s="11">
        <f t="shared" si="56"/>
        <v>0</v>
      </c>
      <c r="BH1089" s="36"/>
    </row>
    <row r="1090" spans="3:60" x14ac:dyDescent="0.25">
      <c r="C1090" s="35"/>
      <c r="L1090" s="39"/>
      <c r="BB1090" s="9" t="str">
        <f t="shared" si="57"/>
        <v>Yes</v>
      </c>
      <c r="BC1090" s="9" t="e">
        <f>IF(EFB!$N1090=Table1[[#This Row],[ProgramTitle]],"Yes","No")</f>
        <v>#VALUE!</v>
      </c>
      <c r="BD1090" s="9" t="e">
        <f>IF(EFB!$S1090=Table1[[#This Row],[SeriesEpisodeTitle]],"Yes","No")</f>
        <v>#VALUE!</v>
      </c>
      <c r="BE1090" s="11">
        <f t="shared" si="55"/>
        <v>0</v>
      </c>
      <c r="BF1090" s="11">
        <f t="shared" si="56"/>
        <v>0</v>
      </c>
      <c r="BH1090" s="36"/>
    </row>
    <row r="1091" spans="3:60" x14ac:dyDescent="0.25">
      <c r="C1091" s="35"/>
      <c r="G1091" s="38"/>
      <c r="H1091" s="38"/>
      <c r="I1091" s="38"/>
      <c r="J1091" s="38"/>
      <c r="K1091" s="38"/>
      <c r="L1091" s="39"/>
      <c r="M1091" s="38"/>
      <c r="N1091" s="38"/>
      <c r="O1091" s="38"/>
      <c r="P1091" s="38"/>
      <c r="Q1091" s="38"/>
      <c r="R1091" s="38"/>
      <c r="S1091" s="38"/>
      <c r="BB1091" s="9" t="str">
        <f t="shared" si="57"/>
        <v>Yes</v>
      </c>
      <c r="BC1091" s="9" t="e">
        <f>IF(EFB!$N1091=Table1[[#This Row],[ProgramTitle]],"Yes","No")</f>
        <v>#VALUE!</v>
      </c>
      <c r="BD1091" s="9" t="e">
        <f>IF(EFB!$S1091=Table1[[#This Row],[SeriesEpisodeTitle]],"Yes","No")</f>
        <v>#VALUE!</v>
      </c>
      <c r="BE1091" s="11">
        <f t="shared" ref="BE1091:BE1119" si="58">TIME(HOUR(C1091),MINUTE(C1091),SECOND(0))</f>
        <v>0</v>
      </c>
      <c r="BF1091" s="11">
        <f t="shared" ref="BF1091:BF1119" si="59">TIME(HOUR(L1091),MINUTE(L1091),SECOND(0))</f>
        <v>0</v>
      </c>
      <c r="BH1091" s="36"/>
    </row>
    <row r="1092" spans="3:60" x14ac:dyDescent="0.25">
      <c r="C1092" s="35"/>
      <c r="L1092" s="39"/>
      <c r="BB1092" s="9" t="str">
        <f t="shared" si="57"/>
        <v>Yes</v>
      </c>
      <c r="BC1092" s="9" t="e">
        <f>IF(EFB!$N1092=Table1[[#This Row],[ProgramTitle]],"Yes","No")</f>
        <v>#VALUE!</v>
      </c>
      <c r="BD1092" s="9" t="e">
        <f>IF(EFB!$S1092=Table1[[#This Row],[SeriesEpisodeTitle]],"Yes","No")</f>
        <v>#VALUE!</v>
      </c>
      <c r="BE1092" s="11">
        <f t="shared" si="58"/>
        <v>0</v>
      </c>
      <c r="BF1092" s="11">
        <f t="shared" si="59"/>
        <v>0</v>
      </c>
      <c r="BH1092" s="36"/>
    </row>
    <row r="1093" spans="3:60" x14ac:dyDescent="0.25">
      <c r="C1093" s="35"/>
      <c r="G1093" s="38"/>
      <c r="H1093" s="38"/>
      <c r="I1093" s="38"/>
      <c r="J1093" s="38"/>
      <c r="K1093" s="38"/>
      <c r="L1093" s="39"/>
      <c r="M1093" s="38"/>
      <c r="N1093" s="38"/>
      <c r="O1093" s="38"/>
      <c r="P1093" s="38"/>
      <c r="Q1093" s="38"/>
      <c r="R1093" s="38"/>
      <c r="S1093" s="38"/>
      <c r="BB1093" s="9" t="str">
        <f t="shared" si="57"/>
        <v>Yes</v>
      </c>
      <c r="BC1093" s="9" t="e">
        <f>IF(EFB!$N1093=Table1[[#This Row],[ProgramTitle]],"Yes","No")</f>
        <v>#VALUE!</v>
      </c>
      <c r="BD1093" s="9" t="e">
        <f>IF(EFB!$S1093=Table1[[#This Row],[SeriesEpisodeTitle]],"Yes","No")</f>
        <v>#VALUE!</v>
      </c>
      <c r="BE1093" s="11">
        <f t="shared" si="58"/>
        <v>0</v>
      </c>
      <c r="BF1093" s="11">
        <f t="shared" si="59"/>
        <v>0</v>
      </c>
      <c r="BH1093" s="36"/>
    </row>
    <row r="1094" spans="3:60" x14ac:dyDescent="0.25">
      <c r="C1094" s="35"/>
      <c r="L1094" s="39"/>
      <c r="BB1094" s="9" t="str">
        <f t="shared" si="57"/>
        <v>Yes</v>
      </c>
      <c r="BC1094" s="9" t="e">
        <f>IF(EFB!$N1094=Table1[[#This Row],[ProgramTitle]],"Yes","No")</f>
        <v>#VALUE!</v>
      </c>
      <c r="BD1094" s="9" t="e">
        <f>IF(EFB!$S1094=Table1[[#This Row],[SeriesEpisodeTitle]],"Yes","No")</f>
        <v>#VALUE!</v>
      </c>
      <c r="BE1094" s="11">
        <f t="shared" si="58"/>
        <v>0</v>
      </c>
      <c r="BF1094" s="11">
        <f t="shared" si="59"/>
        <v>0</v>
      </c>
      <c r="BH1094" s="36"/>
    </row>
    <row r="1095" spans="3:60" x14ac:dyDescent="0.25">
      <c r="C1095" s="35"/>
      <c r="G1095" s="38"/>
      <c r="H1095" s="38"/>
      <c r="I1095" s="38"/>
      <c r="J1095" s="38"/>
      <c r="K1095" s="38"/>
      <c r="L1095" s="39"/>
      <c r="M1095" s="38"/>
      <c r="N1095" s="38"/>
      <c r="O1095" s="38"/>
      <c r="P1095" s="38"/>
      <c r="Q1095" s="38"/>
      <c r="R1095" s="38"/>
      <c r="S1095" s="38"/>
      <c r="BB1095" s="9" t="str">
        <f t="shared" si="57"/>
        <v>Yes</v>
      </c>
      <c r="BC1095" s="9" t="e">
        <f>IF(EFB!$N1095=Table1[[#This Row],[ProgramTitle]],"Yes","No")</f>
        <v>#VALUE!</v>
      </c>
      <c r="BD1095" s="9" t="e">
        <f>IF(EFB!$S1095=Table1[[#This Row],[SeriesEpisodeTitle]],"Yes","No")</f>
        <v>#VALUE!</v>
      </c>
      <c r="BE1095" s="11">
        <f t="shared" si="58"/>
        <v>0</v>
      </c>
      <c r="BF1095" s="11">
        <f t="shared" si="59"/>
        <v>0</v>
      </c>
      <c r="BH1095" s="36"/>
    </row>
    <row r="1096" spans="3:60" x14ac:dyDescent="0.25">
      <c r="C1096" s="35"/>
      <c r="L1096" s="39"/>
      <c r="BB1096" s="9" t="str">
        <f t="shared" si="57"/>
        <v>Yes</v>
      </c>
      <c r="BC1096" s="9" t="e">
        <f>IF(EFB!$N1096=Table1[[#This Row],[ProgramTitle]],"Yes","No")</f>
        <v>#VALUE!</v>
      </c>
      <c r="BD1096" s="9" t="e">
        <f>IF(EFB!$S1096=Table1[[#This Row],[SeriesEpisodeTitle]],"Yes","No")</f>
        <v>#VALUE!</v>
      </c>
      <c r="BE1096" s="11">
        <f t="shared" si="58"/>
        <v>0</v>
      </c>
      <c r="BF1096" s="11">
        <f t="shared" si="59"/>
        <v>0</v>
      </c>
      <c r="BH1096" s="36"/>
    </row>
    <row r="1097" spans="3:60" x14ac:dyDescent="0.25">
      <c r="C1097" s="35"/>
      <c r="G1097" s="38"/>
      <c r="H1097" s="38"/>
      <c r="I1097" s="38"/>
      <c r="J1097" s="38"/>
      <c r="K1097" s="38"/>
      <c r="L1097" s="39"/>
      <c r="M1097" s="38"/>
      <c r="N1097" s="38"/>
      <c r="O1097" s="38"/>
      <c r="P1097" s="38"/>
      <c r="Q1097" s="38"/>
      <c r="R1097" s="38"/>
      <c r="S1097" s="38"/>
      <c r="BB1097" s="9" t="str">
        <f t="shared" si="57"/>
        <v>Yes</v>
      </c>
      <c r="BC1097" s="9" t="e">
        <f>IF(EFB!$N1097=Table1[[#This Row],[ProgramTitle]],"Yes","No")</f>
        <v>#VALUE!</v>
      </c>
      <c r="BD1097" s="9" t="e">
        <f>IF(EFB!$S1097=Table1[[#This Row],[SeriesEpisodeTitle]],"Yes","No")</f>
        <v>#VALUE!</v>
      </c>
      <c r="BE1097" s="11">
        <f t="shared" si="58"/>
        <v>0</v>
      </c>
      <c r="BF1097" s="11">
        <f t="shared" si="59"/>
        <v>0</v>
      </c>
      <c r="BH1097" s="36"/>
    </row>
    <row r="1098" spans="3:60" x14ac:dyDescent="0.25">
      <c r="C1098" s="35"/>
      <c r="L1098" s="39"/>
      <c r="BB1098" s="9" t="str">
        <f t="shared" si="57"/>
        <v>Yes</v>
      </c>
      <c r="BC1098" s="9" t="e">
        <f>IF(EFB!$N1098=Table1[[#This Row],[ProgramTitle]],"Yes","No")</f>
        <v>#VALUE!</v>
      </c>
      <c r="BD1098" s="9" t="e">
        <f>IF(EFB!$S1098=Table1[[#This Row],[SeriesEpisodeTitle]],"Yes","No")</f>
        <v>#VALUE!</v>
      </c>
      <c r="BE1098" s="11">
        <f t="shared" si="58"/>
        <v>0</v>
      </c>
      <c r="BF1098" s="11">
        <f t="shared" si="59"/>
        <v>0</v>
      </c>
      <c r="BH1098" s="36"/>
    </row>
    <row r="1099" spans="3:60" x14ac:dyDescent="0.25">
      <c r="C1099" s="35"/>
      <c r="G1099" s="38"/>
      <c r="H1099" s="38"/>
      <c r="I1099" s="38"/>
      <c r="J1099" s="38"/>
      <c r="K1099" s="38"/>
      <c r="L1099" s="39"/>
      <c r="M1099" s="38"/>
      <c r="N1099" s="38"/>
      <c r="O1099" s="38"/>
      <c r="P1099" s="38"/>
      <c r="Q1099" s="38"/>
      <c r="R1099" s="38"/>
      <c r="S1099" s="38"/>
      <c r="BB1099" s="9" t="str">
        <f t="shared" si="57"/>
        <v>Yes</v>
      </c>
      <c r="BC1099" s="9" t="e">
        <f>IF(EFB!$N1099=Table1[[#This Row],[ProgramTitle]],"Yes","No")</f>
        <v>#VALUE!</v>
      </c>
      <c r="BD1099" s="9" t="e">
        <f>IF(EFB!$S1099=Table1[[#This Row],[SeriesEpisodeTitle]],"Yes","No")</f>
        <v>#VALUE!</v>
      </c>
      <c r="BE1099" s="11">
        <f t="shared" si="58"/>
        <v>0</v>
      </c>
      <c r="BF1099" s="11">
        <f t="shared" si="59"/>
        <v>0</v>
      </c>
      <c r="BH1099" s="36"/>
    </row>
    <row r="1100" spans="3:60" x14ac:dyDescent="0.25">
      <c r="C1100" s="35"/>
      <c r="L1100" s="39"/>
      <c r="BB1100" s="9" t="str">
        <f t="shared" si="57"/>
        <v>Yes</v>
      </c>
      <c r="BC1100" s="9" t="e">
        <f>IF(EFB!$N1100=Table1[[#This Row],[ProgramTitle]],"Yes","No")</f>
        <v>#VALUE!</v>
      </c>
      <c r="BD1100" s="9" t="e">
        <f>IF(EFB!$S1100=Table1[[#This Row],[SeriesEpisodeTitle]],"Yes","No")</f>
        <v>#VALUE!</v>
      </c>
      <c r="BE1100" s="11">
        <f t="shared" si="58"/>
        <v>0</v>
      </c>
      <c r="BF1100" s="11">
        <f t="shared" si="59"/>
        <v>0</v>
      </c>
      <c r="BH1100" s="36"/>
    </row>
    <row r="1101" spans="3:60" x14ac:dyDescent="0.25">
      <c r="C1101" s="35"/>
      <c r="G1101" s="38"/>
      <c r="H1101" s="38"/>
      <c r="I1101" s="38"/>
      <c r="J1101" s="38"/>
      <c r="K1101" s="38"/>
      <c r="L1101" s="39"/>
      <c r="M1101" s="38"/>
      <c r="N1101" s="38"/>
      <c r="O1101" s="38"/>
      <c r="P1101" s="38"/>
      <c r="Q1101" s="38"/>
      <c r="R1101" s="38"/>
      <c r="S1101" s="38"/>
      <c r="BB1101" s="9" t="str">
        <f t="shared" si="57"/>
        <v>Yes</v>
      </c>
      <c r="BC1101" s="9" t="e">
        <f>IF(EFB!$N1101=Table1[[#This Row],[ProgramTitle]],"Yes","No")</f>
        <v>#VALUE!</v>
      </c>
      <c r="BD1101" s="9" t="e">
        <f>IF(EFB!$S1101=Table1[[#This Row],[SeriesEpisodeTitle]],"Yes","No")</f>
        <v>#VALUE!</v>
      </c>
      <c r="BE1101" s="11">
        <f t="shared" si="58"/>
        <v>0</v>
      </c>
      <c r="BF1101" s="11">
        <f t="shared" si="59"/>
        <v>0</v>
      </c>
      <c r="BH1101" s="36"/>
    </row>
    <row r="1102" spans="3:60" x14ac:dyDescent="0.25">
      <c r="C1102" s="35"/>
      <c r="L1102" s="39"/>
      <c r="BB1102" s="9" t="str">
        <f t="shared" si="57"/>
        <v>Yes</v>
      </c>
      <c r="BC1102" s="9" t="e">
        <f>IF(EFB!$N1102=Table1[[#This Row],[ProgramTitle]],"Yes","No")</f>
        <v>#VALUE!</v>
      </c>
      <c r="BD1102" s="9" t="e">
        <f>IF(EFB!$S1102=Table1[[#This Row],[SeriesEpisodeTitle]],"Yes","No")</f>
        <v>#VALUE!</v>
      </c>
      <c r="BE1102" s="11">
        <f t="shared" si="58"/>
        <v>0</v>
      </c>
      <c r="BF1102" s="11">
        <f t="shared" si="59"/>
        <v>0</v>
      </c>
      <c r="BH1102" s="36"/>
    </row>
    <row r="1103" spans="3:60" x14ac:dyDescent="0.25">
      <c r="C1103" s="35"/>
      <c r="G1103" s="38"/>
      <c r="H1103" s="38"/>
      <c r="I1103" s="38"/>
      <c r="J1103" s="38"/>
      <c r="K1103" s="38"/>
      <c r="L1103" s="39"/>
      <c r="M1103" s="38"/>
      <c r="N1103" s="38"/>
      <c r="O1103" s="38"/>
      <c r="P1103" s="38"/>
      <c r="Q1103" s="38"/>
      <c r="R1103" s="38"/>
      <c r="S1103" s="38"/>
      <c r="BB1103" s="9" t="str">
        <f t="shared" si="57"/>
        <v>Yes</v>
      </c>
      <c r="BC1103" s="9" t="e">
        <f>IF(EFB!$N1103=Table1[[#This Row],[ProgramTitle]],"Yes","No")</f>
        <v>#VALUE!</v>
      </c>
      <c r="BD1103" s="9" t="e">
        <f>IF(EFB!$S1103=Table1[[#This Row],[SeriesEpisodeTitle]],"Yes","No")</f>
        <v>#VALUE!</v>
      </c>
      <c r="BE1103" s="11">
        <f t="shared" si="58"/>
        <v>0</v>
      </c>
      <c r="BF1103" s="11">
        <f t="shared" si="59"/>
        <v>0</v>
      </c>
      <c r="BH1103" s="36"/>
    </row>
    <row r="1104" spans="3:60" x14ac:dyDescent="0.25">
      <c r="C1104" s="35"/>
      <c r="L1104" s="39"/>
      <c r="BB1104" s="9" t="str">
        <f t="shared" si="57"/>
        <v>Yes</v>
      </c>
      <c r="BC1104" s="9" t="e">
        <f>IF(EFB!$N1104=Table1[[#This Row],[ProgramTitle]],"Yes","No")</f>
        <v>#VALUE!</v>
      </c>
      <c r="BD1104" s="9" t="e">
        <f>IF(EFB!$S1104=Table1[[#This Row],[SeriesEpisodeTitle]],"Yes","No")</f>
        <v>#VALUE!</v>
      </c>
      <c r="BE1104" s="11">
        <f t="shared" si="58"/>
        <v>0</v>
      </c>
      <c r="BF1104" s="11">
        <f t="shared" si="59"/>
        <v>0</v>
      </c>
      <c r="BH1104" s="36"/>
    </row>
    <row r="1105" spans="3:60" x14ac:dyDescent="0.25">
      <c r="C1105" s="35"/>
      <c r="G1105" s="38"/>
      <c r="H1105" s="38"/>
      <c r="I1105" s="38"/>
      <c r="J1105" s="38"/>
      <c r="K1105" s="38"/>
      <c r="L1105" s="39"/>
      <c r="M1105" s="38"/>
      <c r="N1105" s="38"/>
      <c r="O1105" s="38"/>
      <c r="P1105" s="38"/>
      <c r="Q1105" s="38"/>
      <c r="R1105" s="38"/>
      <c r="S1105" s="38"/>
      <c r="BB1105" s="9" t="str">
        <f t="shared" si="57"/>
        <v>Yes</v>
      </c>
      <c r="BC1105" s="9" t="e">
        <f>IF(EFB!$N1105=Table1[[#This Row],[ProgramTitle]],"Yes","No")</f>
        <v>#VALUE!</v>
      </c>
      <c r="BD1105" s="9" t="e">
        <f>IF(EFB!$S1105=Table1[[#This Row],[SeriesEpisodeTitle]],"Yes","No")</f>
        <v>#VALUE!</v>
      </c>
      <c r="BE1105" s="11">
        <f t="shared" si="58"/>
        <v>0</v>
      </c>
      <c r="BF1105" s="11">
        <f t="shared" si="59"/>
        <v>0</v>
      </c>
      <c r="BH1105" s="36"/>
    </row>
    <row r="1106" spans="3:60" x14ac:dyDescent="0.25">
      <c r="C1106" s="35"/>
      <c r="L1106" s="39"/>
      <c r="BB1106" s="9" t="str">
        <f t="shared" si="57"/>
        <v>Yes</v>
      </c>
      <c r="BC1106" s="9" t="e">
        <f>IF(EFB!$N1106=Table1[[#This Row],[ProgramTitle]],"Yes","No")</f>
        <v>#VALUE!</v>
      </c>
      <c r="BD1106" s="9" t="e">
        <f>IF(EFB!$S1106=Table1[[#This Row],[SeriesEpisodeTitle]],"Yes","No")</f>
        <v>#VALUE!</v>
      </c>
      <c r="BE1106" s="11">
        <f t="shared" si="58"/>
        <v>0</v>
      </c>
      <c r="BF1106" s="11">
        <f t="shared" si="59"/>
        <v>0</v>
      </c>
      <c r="BH1106" s="36"/>
    </row>
    <row r="1107" spans="3:60" x14ac:dyDescent="0.25">
      <c r="C1107" s="35"/>
      <c r="G1107" s="38"/>
      <c r="H1107" s="38"/>
      <c r="I1107" s="38"/>
      <c r="J1107" s="38"/>
      <c r="K1107" s="38"/>
      <c r="L1107" s="39"/>
      <c r="M1107" s="38"/>
      <c r="N1107" s="38"/>
      <c r="O1107" s="38"/>
      <c r="P1107" s="38"/>
      <c r="Q1107" s="38"/>
      <c r="R1107" s="38"/>
      <c r="S1107" s="38"/>
      <c r="BB1107" s="9" t="str">
        <f t="shared" si="57"/>
        <v>Yes</v>
      </c>
      <c r="BC1107" s="9" t="e">
        <f>IF(EFB!$N1107=Table1[[#This Row],[ProgramTitle]],"Yes","No")</f>
        <v>#VALUE!</v>
      </c>
      <c r="BD1107" s="9" t="e">
        <f>IF(EFB!$S1107=Table1[[#This Row],[SeriesEpisodeTitle]],"Yes","No")</f>
        <v>#VALUE!</v>
      </c>
      <c r="BE1107" s="11">
        <f t="shared" si="58"/>
        <v>0</v>
      </c>
      <c r="BF1107" s="11">
        <f t="shared" si="59"/>
        <v>0</v>
      </c>
      <c r="BH1107" s="36"/>
    </row>
    <row r="1108" spans="3:60" x14ac:dyDescent="0.25">
      <c r="C1108" s="35"/>
      <c r="L1108" s="39"/>
      <c r="BB1108" s="9" t="str">
        <f t="shared" si="57"/>
        <v>Yes</v>
      </c>
      <c r="BC1108" s="9" t="e">
        <f>IF(EFB!$N1108=Table1[[#This Row],[ProgramTitle]],"Yes","No")</f>
        <v>#VALUE!</v>
      </c>
      <c r="BD1108" s="9" t="e">
        <f>IF(EFB!$S1108=Table1[[#This Row],[SeriesEpisodeTitle]],"Yes","No")</f>
        <v>#VALUE!</v>
      </c>
      <c r="BE1108" s="11">
        <f t="shared" si="58"/>
        <v>0</v>
      </c>
      <c r="BF1108" s="11">
        <f t="shared" si="59"/>
        <v>0</v>
      </c>
      <c r="BH1108" s="36"/>
    </row>
    <row r="1109" spans="3:60" x14ac:dyDescent="0.25">
      <c r="C1109" s="35"/>
      <c r="G1109" s="38"/>
      <c r="H1109" s="38"/>
      <c r="I1109" s="38"/>
      <c r="J1109" s="38"/>
      <c r="K1109" s="38"/>
      <c r="L1109" s="39"/>
      <c r="M1109" s="38"/>
      <c r="N1109" s="38"/>
      <c r="O1109" s="38"/>
      <c r="P1109" s="38"/>
      <c r="Q1109" s="38"/>
      <c r="R1109" s="38"/>
      <c r="S1109" s="38"/>
      <c r="BB1109" s="9" t="str">
        <f t="shared" si="57"/>
        <v>Yes</v>
      </c>
      <c r="BC1109" s="9" t="e">
        <f>IF(EFB!$N1109=Table1[[#This Row],[ProgramTitle]],"Yes","No")</f>
        <v>#VALUE!</v>
      </c>
      <c r="BD1109" s="9" t="e">
        <f>IF(EFB!$S1109=Table1[[#This Row],[SeriesEpisodeTitle]],"Yes","No")</f>
        <v>#VALUE!</v>
      </c>
      <c r="BE1109" s="11">
        <f t="shared" si="58"/>
        <v>0</v>
      </c>
      <c r="BF1109" s="11">
        <f t="shared" si="59"/>
        <v>0</v>
      </c>
      <c r="BH1109" s="36"/>
    </row>
    <row r="1110" spans="3:60" x14ac:dyDescent="0.25">
      <c r="C1110" s="35"/>
      <c r="L1110" s="39"/>
      <c r="BB1110" s="9" t="str">
        <f t="shared" si="57"/>
        <v>Yes</v>
      </c>
      <c r="BC1110" s="9" t="e">
        <f>IF(EFB!$N1110=Table1[[#This Row],[ProgramTitle]],"Yes","No")</f>
        <v>#VALUE!</v>
      </c>
      <c r="BD1110" s="9" t="e">
        <f>IF(EFB!$S1110=Table1[[#This Row],[SeriesEpisodeTitle]],"Yes","No")</f>
        <v>#VALUE!</v>
      </c>
      <c r="BE1110" s="11">
        <f t="shared" si="58"/>
        <v>0</v>
      </c>
      <c r="BF1110" s="11">
        <f t="shared" si="59"/>
        <v>0</v>
      </c>
      <c r="BH1110" s="36"/>
    </row>
    <row r="1111" spans="3:60" x14ac:dyDescent="0.25">
      <c r="C1111" s="35"/>
      <c r="G1111" s="38"/>
      <c r="H1111" s="38"/>
      <c r="I1111" s="38"/>
      <c r="J1111" s="38"/>
      <c r="K1111" s="38"/>
      <c r="L1111" s="39"/>
      <c r="M1111" s="38"/>
      <c r="N1111" s="38"/>
      <c r="O1111" s="38"/>
      <c r="P1111" s="38"/>
      <c r="Q1111" s="38"/>
      <c r="R1111" s="38"/>
      <c r="S1111" s="38"/>
      <c r="BB1111" s="9" t="str">
        <f t="shared" si="57"/>
        <v>Yes</v>
      </c>
      <c r="BC1111" s="9" t="e">
        <f>IF(EFB!$N1111=Table1[[#This Row],[ProgramTitle]],"Yes","No")</f>
        <v>#VALUE!</v>
      </c>
      <c r="BD1111" s="9" t="e">
        <f>IF(EFB!$S1111=Table1[[#This Row],[SeriesEpisodeTitle]],"Yes","No")</f>
        <v>#VALUE!</v>
      </c>
      <c r="BE1111" s="11">
        <f t="shared" si="58"/>
        <v>0</v>
      </c>
      <c r="BF1111" s="11">
        <f t="shared" si="59"/>
        <v>0</v>
      </c>
      <c r="BH1111" s="36"/>
    </row>
    <row r="1112" spans="3:60" x14ac:dyDescent="0.25">
      <c r="C1112" s="35"/>
      <c r="L1112" s="39"/>
      <c r="BB1112" s="9" t="str">
        <f t="shared" si="57"/>
        <v>Yes</v>
      </c>
      <c r="BC1112" s="9" t="e">
        <f>IF(EFB!$N1112=Table1[[#This Row],[ProgramTitle]],"Yes","No")</f>
        <v>#VALUE!</v>
      </c>
      <c r="BD1112" s="9" t="e">
        <f>IF(EFB!$S1112=Table1[[#This Row],[SeriesEpisodeTitle]],"Yes","No")</f>
        <v>#VALUE!</v>
      </c>
      <c r="BE1112" s="11">
        <f t="shared" si="58"/>
        <v>0</v>
      </c>
      <c r="BF1112" s="11">
        <f t="shared" si="59"/>
        <v>0</v>
      </c>
      <c r="BH1112" s="36"/>
    </row>
    <row r="1113" spans="3:60" x14ac:dyDescent="0.25">
      <c r="C1113" s="35"/>
      <c r="G1113" s="38"/>
      <c r="H1113" s="38"/>
      <c r="I1113" s="38"/>
      <c r="J1113" s="38"/>
      <c r="K1113" s="38"/>
      <c r="L1113" s="39"/>
      <c r="M1113" s="38"/>
      <c r="N1113" s="38"/>
      <c r="O1113" s="38"/>
      <c r="P1113" s="38"/>
      <c r="Q1113" s="38"/>
      <c r="R1113" s="38"/>
      <c r="S1113" s="38"/>
      <c r="BB1113" s="9" t="str">
        <f t="shared" si="57"/>
        <v>Yes</v>
      </c>
      <c r="BC1113" s="9" t="e">
        <f>IF(EFB!$N1113=Table1[[#This Row],[ProgramTitle]],"Yes","No")</f>
        <v>#VALUE!</v>
      </c>
      <c r="BD1113" s="9" t="e">
        <f>IF(EFB!$S1113=Table1[[#This Row],[SeriesEpisodeTitle]],"Yes","No")</f>
        <v>#VALUE!</v>
      </c>
      <c r="BE1113" s="11">
        <f t="shared" si="58"/>
        <v>0</v>
      </c>
      <c r="BF1113" s="11">
        <f t="shared" si="59"/>
        <v>0</v>
      </c>
      <c r="BH1113" s="36"/>
    </row>
    <row r="1114" spans="3:60" x14ac:dyDescent="0.25">
      <c r="C1114" s="35"/>
      <c r="L1114" s="39"/>
      <c r="BB1114" s="9" t="str">
        <f t="shared" si="57"/>
        <v>Yes</v>
      </c>
      <c r="BC1114" s="9" t="e">
        <f>IF(EFB!$N1114=Table1[[#This Row],[ProgramTitle]],"Yes","No")</f>
        <v>#VALUE!</v>
      </c>
      <c r="BD1114" s="9" t="e">
        <f>IF(EFB!$S1114=Table1[[#This Row],[SeriesEpisodeTitle]],"Yes","No")</f>
        <v>#VALUE!</v>
      </c>
      <c r="BE1114" s="11">
        <f t="shared" si="58"/>
        <v>0</v>
      </c>
      <c r="BF1114" s="11">
        <f t="shared" si="59"/>
        <v>0</v>
      </c>
      <c r="BH1114" s="36"/>
    </row>
    <row r="1115" spans="3:60" x14ac:dyDescent="0.25">
      <c r="C1115" s="35"/>
      <c r="G1115" s="38"/>
      <c r="H1115" s="38"/>
      <c r="I1115" s="38"/>
      <c r="J1115" s="38"/>
      <c r="K1115" s="38"/>
      <c r="L1115" s="39"/>
      <c r="M1115" s="38"/>
      <c r="N1115" s="38"/>
      <c r="O1115" s="38"/>
      <c r="P1115" s="38"/>
      <c r="Q1115" s="38"/>
      <c r="R1115" s="38"/>
      <c r="S1115" s="38"/>
      <c r="BB1115" s="9" t="str">
        <f t="shared" si="57"/>
        <v>Yes</v>
      </c>
      <c r="BC1115" s="9" t="e">
        <f>IF(EFB!$N1115=Table1[[#This Row],[ProgramTitle]],"Yes","No")</f>
        <v>#VALUE!</v>
      </c>
      <c r="BD1115" s="9" t="e">
        <f>IF(EFB!$S1115=Table1[[#This Row],[SeriesEpisodeTitle]],"Yes","No")</f>
        <v>#VALUE!</v>
      </c>
      <c r="BE1115" s="11">
        <f t="shared" si="58"/>
        <v>0</v>
      </c>
      <c r="BF1115" s="11">
        <f t="shared" si="59"/>
        <v>0</v>
      </c>
      <c r="BH1115" s="36"/>
    </row>
    <row r="1116" spans="3:60" x14ac:dyDescent="0.25">
      <c r="C1116" s="35"/>
      <c r="L1116" s="39"/>
      <c r="BB1116" s="9" t="str">
        <f t="shared" si="57"/>
        <v>Yes</v>
      </c>
      <c r="BC1116" s="9" t="e">
        <f>IF(EFB!$N1116=Table1[[#This Row],[ProgramTitle]],"Yes","No")</f>
        <v>#VALUE!</v>
      </c>
      <c r="BD1116" s="9" t="e">
        <f>IF(EFB!$S1116=Table1[[#This Row],[SeriesEpisodeTitle]],"Yes","No")</f>
        <v>#VALUE!</v>
      </c>
      <c r="BE1116" s="11">
        <f t="shared" si="58"/>
        <v>0</v>
      </c>
      <c r="BF1116" s="11">
        <f t="shared" si="59"/>
        <v>0</v>
      </c>
      <c r="BH1116" s="36"/>
    </row>
    <row r="1117" spans="3:60" x14ac:dyDescent="0.25">
      <c r="C1117" s="35"/>
      <c r="G1117" s="38"/>
      <c r="H1117" s="38"/>
      <c r="I1117" s="38"/>
      <c r="J1117" s="38"/>
      <c r="K1117" s="38"/>
      <c r="L1117" s="39"/>
      <c r="M1117" s="38"/>
      <c r="N1117" s="38"/>
      <c r="O1117" s="38"/>
      <c r="P1117" s="38"/>
      <c r="Q1117" s="38"/>
      <c r="R1117" s="38"/>
      <c r="S1117" s="38"/>
      <c r="BB1117" s="9" t="str">
        <f t="shared" si="57"/>
        <v>Yes</v>
      </c>
      <c r="BC1117" s="9" t="e">
        <f>IF(EFB!$N1117=Table1[[#This Row],[ProgramTitle]],"Yes","No")</f>
        <v>#VALUE!</v>
      </c>
      <c r="BD1117" s="9" t="e">
        <f>IF(EFB!$S1117=Table1[[#This Row],[SeriesEpisodeTitle]],"Yes","No")</f>
        <v>#VALUE!</v>
      </c>
      <c r="BE1117" s="11">
        <f t="shared" si="58"/>
        <v>0</v>
      </c>
      <c r="BF1117" s="11">
        <f t="shared" si="59"/>
        <v>0</v>
      </c>
      <c r="BH1117" s="36"/>
    </row>
    <row r="1118" spans="3:60" x14ac:dyDescent="0.25">
      <c r="C1118" s="35"/>
      <c r="L1118" s="39"/>
      <c r="BB1118" s="9" t="str">
        <f t="shared" si="57"/>
        <v>Yes</v>
      </c>
      <c r="BC1118" s="9" t="e">
        <f>IF(EFB!$N1118=Table1[[#This Row],[ProgramTitle]],"Yes","No")</f>
        <v>#VALUE!</v>
      </c>
      <c r="BD1118" s="9" t="e">
        <f>IF(EFB!$S1118=Table1[[#This Row],[SeriesEpisodeTitle]],"Yes","No")</f>
        <v>#VALUE!</v>
      </c>
      <c r="BE1118" s="11">
        <f t="shared" si="58"/>
        <v>0</v>
      </c>
      <c r="BF1118" s="11">
        <f t="shared" si="59"/>
        <v>0</v>
      </c>
      <c r="BH1118" s="36"/>
    </row>
    <row r="1119" spans="3:60" x14ac:dyDescent="0.25">
      <c r="C1119" s="35"/>
      <c r="G1119" s="38"/>
      <c r="H1119" s="38"/>
      <c r="I1119" s="38"/>
      <c r="J1119" s="38"/>
      <c r="K1119" s="38"/>
      <c r="L1119" s="39"/>
      <c r="M1119" s="38"/>
      <c r="N1119" s="38"/>
      <c r="O1119" s="38"/>
      <c r="P1119" s="38"/>
      <c r="Q1119" s="38"/>
      <c r="R1119" s="38"/>
      <c r="S1119" s="38"/>
      <c r="BB1119" s="9" t="str">
        <f t="shared" si="57"/>
        <v>Yes</v>
      </c>
      <c r="BC1119" s="9" t="e">
        <f>IF(EFB!$N1119=Table1[[#This Row],[ProgramTitle]],"Yes","No")</f>
        <v>#VALUE!</v>
      </c>
      <c r="BD1119" s="9" t="e">
        <f>IF(EFB!$S1119=Table1[[#This Row],[SeriesEpisodeTitle]],"Yes","No")</f>
        <v>#VALUE!</v>
      </c>
      <c r="BE1119" s="11">
        <f t="shared" si="58"/>
        <v>0</v>
      </c>
      <c r="BF1119" s="11">
        <f t="shared" si="59"/>
        <v>0</v>
      </c>
      <c r="BH1119" s="36"/>
    </row>
    <row r="1120" spans="3:60" x14ac:dyDescent="0.25">
      <c r="C1120" s="35"/>
      <c r="L1120" s="39"/>
      <c r="BH1120" s="36"/>
    </row>
    <row r="1121" spans="3:60" x14ac:dyDescent="0.25">
      <c r="C1121" s="35"/>
      <c r="G1121" s="38"/>
      <c r="H1121" s="38"/>
      <c r="I1121" s="38"/>
      <c r="J1121" s="38"/>
      <c r="K1121" s="38"/>
      <c r="L1121" s="39"/>
      <c r="M1121" s="38"/>
      <c r="N1121" s="38"/>
      <c r="O1121" s="38"/>
      <c r="P1121" s="38"/>
      <c r="Q1121" s="38"/>
      <c r="R1121" s="38"/>
      <c r="S1121" s="38"/>
      <c r="BH1121" s="36"/>
    </row>
    <row r="1122" spans="3:60" x14ac:dyDescent="0.25">
      <c r="C1122" s="35"/>
      <c r="L1122" s="39"/>
      <c r="BH1122" s="36"/>
    </row>
    <row r="1123" spans="3:60" x14ac:dyDescent="0.25">
      <c r="C1123" s="35"/>
      <c r="G1123" s="38"/>
      <c r="H1123" s="38"/>
      <c r="I1123" s="38"/>
      <c r="J1123" s="38"/>
      <c r="K1123" s="38"/>
      <c r="L1123" s="39"/>
      <c r="M1123" s="38"/>
      <c r="N1123" s="38"/>
      <c r="O1123" s="38"/>
      <c r="P1123" s="38"/>
      <c r="Q1123" s="38"/>
      <c r="R1123" s="38"/>
      <c r="S1123" s="38"/>
      <c r="BH1123" s="36"/>
    </row>
    <row r="1124" spans="3:60" x14ac:dyDescent="0.25">
      <c r="C1124" s="35"/>
      <c r="L1124" s="39"/>
      <c r="BH1124" s="36"/>
    </row>
    <row r="1125" spans="3:60" x14ac:dyDescent="0.25">
      <c r="C1125" s="35"/>
      <c r="G1125" s="38"/>
      <c r="H1125" s="38"/>
      <c r="I1125" s="38"/>
      <c r="J1125" s="38"/>
      <c r="K1125" s="38"/>
      <c r="L1125" s="39"/>
      <c r="M1125" s="38"/>
      <c r="N1125" s="38"/>
      <c r="O1125" s="38"/>
      <c r="P1125" s="38"/>
      <c r="Q1125" s="38"/>
      <c r="R1125" s="38"/>
      <c r="S1125" s="38"/>
      <c r="BH1125" s="36"/>
    </row>
    <row r="1126" spans="3:60" x14ac:dyDescent="0.25">
      <c r="C1126" s="35"/>
      <c r="L1126" s="39"/>
      <c r="BH1126" s="36"/>
    </row>
    <row r="1127" spans="3:60" x14ac:dyDescent="0.25">
      <c r="C1127" s="35"/>
      <c r="G1127" s="38"/>
      <c r="H1127" s="38"/>
      <c r="I1127" s="38"/>
      <c r="J1127" s="38"/>
      <c r="K1127" s="38"/>
      <c r="L1127" s="39"/>
      <c r="M1127" s="38"/>
      <c r="N1127" s="38"/>
      <c r="O1127" s="38"/>
      <c r="P1127" s="38"/>
      <c r="Q1127" s="38"/>
      <c r="R1127" s="38"/>
      <c r="S1127" s="38"/>
      <c r="BH1127" s="36"/>
    </row>
    <row r="1128" spans="3:60" x14ac:dyDescent="0.25">
      <c r="C1128" s="35"/>
      <c r="L1128" s="39"/>
      <c r="BH1128" s="36"/>
    </row>
    <row r="1129" spans="3:60" x14ac:dyDescent="0.25">
      <c r="C1129" s="35"/>
      <c r="G1129" s="38"/>
      <c r="H1129" s="38"/>
      <c r="I1129" s="38"/>
      <c r="J1129" s="38"/>
      <c r="K1129" s="38"/>
      <c r="L1129" s="39"/>
      <c r="M1129" s="38"/>
      <c r="N1129" s="38"/>
      <c r="O1129" s="38"/>
      <c r="P1129" s="38"/>
      <c r="Q1129" s="38"/>
      <c r="R1129" s="38"/>
      <c r="S1129" s="38"/>
      <c r="BH1129" s="36"/>
    </row>
    <row r="1130" spans="3:60" x14ac:dyDescent="0.25">
      <c r="C1130" s="35"/>
      <c r="L1130" s="39"/>
      <c r="BH1130" s="36"/>
    </row>
    <row r="1131" spans="3:60" x14ac:dyDescent="0.25">
      <c r="C1131" s="35"/>
      <c r="G1131" s="38"/>
      <c r="H1131" s="38"/>
      <c r="I1131" s="38"/>
      <c r="J1131" s="38"/>
      <c r="K1131" s="38"/>
      <c r="L1131" s="39"/>
      <c r="M1131" s="38"/>
      <c r="N1131" s="38"/>
      <c r="O1131" s="38"/>
      <c r="P1131" s="38"/>
      <c r="Q1131" s="38"/>
      <c r="R1131" s="38"/>
      <c r="S1131" s="38"/>
      <c r="BH1131" s="36"/>
    </row>
    <row r="1132" spans="3:60" x14ac:dyDescent="0.25">
      <c r="C1132" s="35"/>
      <c r="L1132" s="39"/>
      <c r="BH1132" s="36"/>
    </row>
    <row r="1133" spans="3:60" x14ac:dyDescent="0.25">
      <c r="C1133" s="35"/>
      <c r="G1133" s="38"/>
      <c r="H1133" s="38"/>
      <c r="I1133" s="38"/>
      <c r="J1133" s="38"/>
      <c r="K1133" s="38"/>
      <c r="L1133" s="39"/>
      <c r="M1133" s="38"/>
      <c r="N1133" s="38"/>
      <c r="O1133" s="38"/>
      <c r="P1133" s="38"/>
      <c r="Q1133" s="38"/>
      <c r="R1133" s="38"/>
      <c r="S1133" s="38"/>
      <c r="BH1133" s="36"/>
    </row>
    <row r="1134" spans="3:60" x14ac:dyDescent="0.25">
      <c r="C1134" s="35"/>
      <c r="L1134" s="39"/>
      <c r="BH1134" s="36"/>
    </row>
    <row r="1135" spans="3:60" x14ac:dyDescent="0.25">
      <c r="C1135" s="35"/>
      <c r="G1135" s="38"/>
      <c r="H1135" s="38"/>
      <c r="I1135" s="38"/>
      <c r="J1135" s="38"/>
      <c r="K1135" s="38"/>
      <c r="L1135" s="39"/>
      <c r="M1135" s="38"/>
      <c r="N1135" s="38"/>
      <c r="O1135" s="38"/>
      <c r="P1135" s="38"/>
      <c r="Q1135" s="38"/>
      <c r="R1135" s="38"/>
      <c r="S1135" s="38"/>
      <c r="BH1135" s="36"/>
    </row>
    <row r="1136" spans="3:60" x14ac:dyDescent="0.25">
      <c r="C1136" s="35"/>
      <c r="L1136" s="39"/>
      <c r="BH1136" s="36"/>
    </row>
    <row r="1137" spans="3:60" x14ac:dyDescent="0.25">
      <c r="C1137" s="35"/>
      <c r="G1137" s="38"/>
      <c r="H1137" s="38"/>
      <c r="I1137" s="38"/>
      <c r="J1137" s="38"/>
      <c r="K1137" s="38"/>
      <c r="L1137" s="39"/>
      <c r="M1137" s="38"/>
      <c r="N1137" s="38"/>
      <c r="O1137" s="38"/>
      <c r="P1137" s="38"/>
      <c r="Q1137" s="38"/>
      <c r="R1137" s="38"/>
      <c r="S1137" s="38"/>
      <c r="BH1137" s="36"/>
    </row>
    <row r="1138" spans="3:60" x14ac:dyDescent="0.25">
      <c r="C1138" s="35"/>
      <c r="L1138" s="39"/>
      <c r="BH1138" s="36"/>
    </row>
    <row r="1139" spans="3:60" x14ac:dyDescent="0.25">
      <c r="C1139" s="35"/>
      <c r="G1139" s="38"/>
      <c r="H1139" s="38"/>
      <c r="I1139" s="38"/>
      <c r="J1139" s="38"/>
      <c r="K1139" s="38"/>
      <c r="L1139" s="39"/>
      <c r="M1139" s="38"/>
      <c r="N1139" s="38"/>
      <c r="O1139" s="38"/>
      <c r="P1139" s="38"/>
      <c r="Q1139" s="38"/>
      <c r="R1139" s="38"/>
      <c r="S1139" s="38"/>
      <c r="BH1139" s="36"/>
    </row>
    <row r="1140" spans="3:60" x14ac:dyDescent="0.25">
      <c r="C1140" s="35"/>
      <c r="L1140" s="39"/>
      <c r="BH1140" s="36"/>
    </row>
    <row r="1141" spans="3:60" x14ac:dyDescent="0.25">
      <c r="C1141" s="35"/>
      <c r="G1141" s="38"/>
      <c r="H1141" s="38"/>
      <c r="I1141" s="38"/>
      <c r="J1141" s="38"/>
      <c r="K1141" s="38"/>
      <c r="L1141" s="39"/>
      <c r="M1141" s="38"/>
      <c r="N1141" s="38"/>
      <c r="O1141" s="38"/>
      <c r="P1141" s="38"/>
      <c r="Q1141" s="38"/>
      <c r="R1141" s="38"/>
      <c r="S1141" s="38"/>
      <c r="BH1141" s="36"/>
    </row>
    <row r="1142" spans="3:60" x14ac:dyDescent="0.25">
      <c r="C1142" s="35"/>
      <c r="L1142" s="39"/>
      <c r="BH1142" s="36"/>
    </row>
    <row r="1143" spans="3:60" x14ac:dyDescent="0.25">
      <c r="C1143" s="35"/>
      <c r="G1143" s="38"/>
      <c r="H1143" s="38"/>
      <c r="I1143" s="38"/>
      <c r="J1143" s="38"/>
      <c r="K1143" s="38"/>
      <c r="L1143" s="39"/>
      <c r="M1143" s="38"/>
      <c r="N1143" s="38"/>
      <c r="O1143" s="38"/>
      <c r="P1143" s="38"/>
      <c r="Q1143" s="38"/>
      <c r="R1143" s="38"/>
      <c r="S1143" s="38"/>
      <c r="BH1143" s="36"/>
    </row>
    <row r="1144" spans="3:60" x14ac:dyDescent="0.25">
      <c r="C1144" s="35"/>
      <c r="L1144" s="39"/>
      <c r="BH1144" s="36"/>
    </row>
    <row r="1145" spans="3:60" x14ac:dyDescent="0.25">
      <c r="C1145" s="35"/>
      <c r="G1145" s="38"/>
      <c r="H1145" s="38"/>
      <c r="I1145" s="38"/>
      <c r="J1145" s="38"/>
      <c r="K1145" s="38"/>
      <c r="L1145" s="39"/>
      <c r="M1145" s="38"/>
      <c r="N1145" s="38"/>
      <c r="O1145" s="38"/>
      <c r="P1145" s="38"/>
      <c r="Q1145" s="38"/>
      <c r="R1145" s="38"/>
      <c r="S1145" s="38"/>
      <c r="BH1145" s="36"/>
    </row>
    <row r="1146" spans="3:60" x14ac:dyDescent="0.25">
      <c r="C1146" s="35"/>
      <c r="L1146" s="39"/>
      <c r="BH1146" s="36"/>
    </row>
    <row r="1147" spans="3:60" x14ac:dyDescent="0.25">
      <c r="C1147" s="35"/>
      <c r="G1147" s="38"/>
      <c r="H1147" s="38"/>
      <c r="I1147" s="38"/>
      <c r="J1147" s="38"/>
      <c r="K1147" s="38"/>
      <c r="L1147" s="39"/>
      <c r="M1147" s="38"/>
      <c r="N1147" s="38"/>
      <c r="O1147" s="38"/>
      <c r="P1147" s="38"/>
      <c r="Q1147" s="38"/>
      <c r="R1147" s="38"/>
      <c r="S1147" s="38"/>
      <c r="BH1147" s="36"/>
    </row>
    <row r="1148" spans="3:60" x14ac:dyDescent="0.25">
      <c r="C1148" s="35"/>
      <c r="L1148" s="39"/>
      <c r="BH1148" s="36"/>
    </row>
    <row r="1149" spans="3:60" x14ac:dyDescent="0.25">
      <c r="C1149" s="35"/>
      <c r="G1149" s="38"/>
      <c r="H1149" s="38"/>
      <c r="I1149" s="38"/>
      <c r="J1149" s="38"/>
      <c r="K1149" s="38"/>
      <c r="L1149" s="39"/>
      <c r="M1149" s="38"/>
      <c r="N1149" s="38"/>
      <c r="O1149" s="38"/>
      <c r="P1149" s="38"/>
      <c r="Q1149" s="38"/>
      <c r="R1149" s="38"/>
      <c r="S1149" s="38"/>
      <c r="BH1149" s="36"/>
    </row>
    <row r="1150" spans="3:60" x14ac:dyDescent="0.25">
      <c r="C1150" s="35"/>
      <c r="L1150" s="39"/>
      <c r="BH1150" s="36"/>
    </row>
    <row r="1151" spans="3:60" x14ac:dyDescent="0.25">
      <c r="C1151" s="35"/>
      <c r="G1151" s="38"/>
      <c r="H1151" s="38"/>
      <c r="I1151" s="38"/>
      <c r="J1151" s="38"/>
      <c r="K1151" s="38"/>
      <c r="L1151" s="39"/>
      <c r="M1151" s="38"/>
      <c r="N1151" s="38"/>
      <c r="O1151" s="38"/>
      <c r="P1151" s="38"/>
      <c r="Q1151" s="38"/>
      <c r="R1151" s="38"/>
      <c r="S1151" s="38"/>
      <c r="BH1151" s="36"/>
    </row>
    <row r="1152" spans="3:60" x14ac:dyDescent="0.25">
      <c r="C1152" s="35"/>
      <c r="L1152" s="39"/>
      <c r="BH1152" s="36"/>
    </row>
    <row r="1153" spans="3:60" x14ac:dyDescent="0.25">
      <c r="C1153" s="35"/>
      <c r="G1153" s="38"/>
      <c r="H1153" s="38"/>
      <c r="I1153" s="38"/>
      <c r="J1153" s="38"/>
      <c r="K1153" s="38"/>
      <c r="L1153" s="39"/>
      <c r="M1153" s="38"/>
      <c r="N1153" s="38"/>
      <c r="O1153" s="38"/>
      <c r="P1153" s="38"/>
      <c r="Q1153" s="38"/>
      <c r="R1153" s="38"/>
      <c r="S1153" s="38"/>
      <c r="BH1153" s="36"/>
    </row>
    <row r="1154" spans="3:60" x14ac:dyDescent="0.25">
      <c r="C1154" s="35"/>
      <c r="L1154" s="39"/>
      <c r="BH1154" s="36"/>
    </row>
    <row r="1155" spans="3:60" x14ac:dyDescent="0.25">
      <c r="C1155" s="35"/>
      <c r="G1155" s="38"/>
      <c r="H1155" s="38"/>
      <c r="I1155" s="38"/>
      <c r="J1155" s="38"/>
      <c r="K1155" s="38"/>
      <c r="L1155" s="39"/>
      <c r="M1155" s="38"/>
      <c r="N1155" s="38"/>
      <c r="O1155" s="38"/>
      <c r="P1155" s="38"/>
      <c r="Q1155" s="38"/>
      <c r="R1155" s="38"/>
      <c r="S1155" s="38"/>
      <c r="BH1155" s="36"/>
    </row>
    <row r="1156" spans="3:60" x14ac:dyDescent="0.25">
      <c r="C1156" s="35"/>
      <c r="L1156" s="39"/>
      <c r="BH1156" s="36"/>
    </row>
    <row r="1157" spans="3:60" x14ac:dyDescent="0.25">
      <c r="C1157" s="35"/>
      <c r="G1157" s="38"/>
      <c r="H1157" s="38"/>
      <c r="I1157" s="38"/>
      <c r="J1157" s="38"/>
      <c r="K1157" s="38"/>
      <c r="L1157" s="39"/>
      <c r="M1157" s="38"/>
      <c r="N1157" s="38"/>
      <c r="O1157" s="38"/>
      <c r="P1157" s="38"/>
      <c r="Q1157" s="38"/>
      <c r="R1157" s="38"/>
      <c r="S1157" s="38"/>
      <c r="BH1157" s="36"/>
    </row>
    <row r="1158" spans="3:60" x14ac:dyDescent="0.25">
      <c r="C1158" s="35"/>
      <c r="L1158" s="39"/>
      <c r="BH1158" s="36"/>
    </row>
    <row r="1159" spans="3:60" x14ac:dyDescent="0.25">
      <c r="C1159" s="35"/>
      <c r="G1159" s="38"/>
      <c r="H1159" s="38"/>
      <c r="I1159" s="38"/>
      <c r="J1159" s="38"/>
      <c r="K1159" s="38"/>
      <c r="L1159" s="39"/>
      <c r="M1159" s="38"/>
      <c r="N1159" s="38"/>
      <c r="O1159" s="38"/>
      <c r="P1159" s="38"/>
      <c r="Q1159" s="38"/>
      <c r="R1159" s="38"/>
      <c r="S1159" s="38"/>
      <c r="BH1159" s="36"/>
    </row>
    <row r="1160" spans="3:60" x14ac:dyDescent="0.25">
      <c r="C1160" s="35"/>
      <c r="L1160" s="39"/>
      <c r="BH1160" s="36"/>
    </row>
    <row r="1161" spans="3:60" x14ac:dyDescent="0.25">
      <c r="C1161" s="35"/>
      <c r="G1161" s="38"/>
      <c r="H1161" s="38"/>
      <c r="I1161" s="38"/>
      <c r="J1161" s="38"/>
      <c r="K1161" s="38"/>
      <c r="L1161" s="39"/>
      <c r="M1161" s="38"/>
      <c r="N1161" s="38"/>
      <c r="O1161" s="38"/>
      <c r="P1161" s="38"/>
      <c r="Q1161" s="38"/>
      <c r="R1161" s="38"/>
      <c r="S1161" s="38"/>
      <c r="BH1161" s="36"/>
    </row>
    <row r="1162" spans="3:60" x14ac:dyDescent="0.25">
      <c r="C1162" s="35"/>
      <c r="L1162" s="39"/>
      <c r="BH1162" s="36"/>
    </row>
    <row r="1163" spans="3:60" x14ac:dyDescent="0.25">
      <c r="C1163" s="35"/>
      <c r="G1163" s="38"/>
      <c r="H1163" s="38"/>
      <c r="I1163" s="38"/>
      <c r="J1163" s="38"/>
      <c r="K1163" s="38"/>
      <c r="L1163" s="39"/>
      <c r="M1163" s="38"/>
      <c r="N1163" s="38"/>
      <c r="O1163" s="38"/>
      <c r="P1163" s="38"/>
      <c r="Q1163" s="38"/>
      <c r="R1163" s="38"/>
      <c r="S1163" s="38"/>
      <c r="BH1163" s="36"/>
    </row>
    <row r="1164" spans="3:60" x14ac:dyDescent="0.25">
      <c r="C1164" s="35"/>
      <c r="L1164" s="39"/>
      <c r="BH1164" s="36"/>
    </row>
    <row r="1165" spans="3:60" x14ac:dyDescent="0.25">
      <c r="C1165" s="35"/>
      <c r="G1165" s="38"/>
      <c r="H1165" s="38"/>
      <c r="I1165" s="38"/>
      <c r="J1165" s="38"/>
      <c r="K1165" s="38"/>
      <c r="L1165" s="39"/>
      <c r="M1165" s="38"/>
      <c r="N1165" s="38"/>
      <c r="O1165" s="38"/>
      <c r="P1165" s="38"/>
      <c r="Q1165" s="38"/>
      <c r="R1165" s="38"/>
      <c r="S1165" s="38"/>
      <c r="BH1165" s="36"/>
    </row>
    <row r="1166" spans="3:60" x14ac:dyDescent="0.25">
      <c r="C1166" s="35"/>
      <c r="L1166" s="39"/>
      <c r="BH1166" s="36"/>
    </row>
    <row r="1167" spans="3:60" x14ac:dyDescent="0.25">
      <c r="C1167" s="35"/>
      <c r="G1167" s="38"/>
      <c r="H1167" s="38"/>
      <c r="I1167" s="38"/>
      <c r="J1167" s="38"/>
      <c r="K1167" s="38"/>
      <c r="L1167" s="39"/>
      <c r="M1167" s="38"/>
      <c r="N1167" s="38"/>
      <c r="O1167" s="38"/>
      <c r="P1167" s="38"/>
      <c r="Q1167" s="38"/>
      <c r="R1167" s="38"/>
      <c r="S1167" s="38"/>
      <c r="BH1167" s="36"/>
    </row>
    <row r="1168" spans="3:60" x14ac:dyDescent="0.25">
      <c r="C1168" s="35"/>
      <c r="L1168" s="39"/>
      <c r="BH1168" s="36"/>
    </row>
    <row r="1169" spans="3:60" x14ac:dyDescent="0.25">
      <c r="C1169" s="35"/>
      <c r="G1169" s="38"/>
      <c r="H1169" s="38"/>
      <c r="I1169" s="38"/>
      <c r="J1169" s="38"/>
      <c r="K1169" s="38"/>
      <c r="L1169" s="39"/>
      <c r="M1169" s="38"/>
      <c r="N1169" s="38"/>
      <c r="O1169" s="38"/>
      <c r="P1169" s="38"/>
      <c r="Q1169" s="38"/>
      <c r="R1169" s="38"/>
      <c r="S1169" s="38"/>
      <c r="BH1169" s="36"/>
    </row>
    <row r="1170" spans="3:60" x14ac:dyDescent="0.25">
      <c r="C1170" s="35"/>
      <c r="L1170" s="39"/>
      <c r="BH1170" s="36"/>
    </row>
    <row r="1171" spans="3:60" x14ac:dyDescent="0.25">
      <c r="C1171" s="35"/>
      <c r="G1171" s="38"/>
      <c r="H1171" s="38"/>
      <c r="I1171" s="38"/>
      <c r="J1171" s="38"/>
      <c r="K1171" s="38"/>
      <c r="L1171" s="39"/>
      <c r="M1171" s="38"/>
      <c r="N1171" s="38"/>
      <c r="O1171" s="38"/>
      <c r="P1171" s="38"/>
      <c r="Q1171" s="38"/>
      <c r="R1171" s="38"/>
      <c r="S1171" s="38"/>
      <c r="BH1171" s="36"/>
    </row>
    <row r="1172" spans="3:60" x14ac:dyDescent="0.25">
      <c r="C1172" s="35"/>
      <c r="L1172" s="39"/>
      <c r="BH1172" s="36"/>
    </row>
    <row r="1173" spans="3:60" x14ac:dyDescent="0.25">
      <c r="C1173" s="35"/>
      <c r="G1173" s="38"/>
      <c r="H1173" s="38"/>
      <c r="I1173" s="38"/>
      <c r="J1173" s="38"/>
      <c r="K1173" s="38"/>
      <c r="L1173" s="39"/>
      <c r="M1173" s="38"/>
      <c r="N1173" s="38"/>
      <c r="O1173" s="38"/>
      <c r="P1173" s="38"/>
      <c r="Q1173" s="38"/>
      <c r="R1173" s="38"/>
      <c r="S1173" s="38"/>
      <c r="BH1173" s="36"/>
    </row>
    <row r="1174" spans="3:60" x14ac:dyDescent="0.25">
      <c r="C1174" s="35"/>
      <c r="L1174" s="39"/>
      <c r="BH1174" s="36"/>
    </row>
    <row r="1175" spans="3:60" x14ac:dyDescent="0.25">
      <c r="C1175" s="35"/>
      <c r="G1175" s="38"/>
      <c r="H1175" s="38"/>
      <c r="I1175" s="38"/>
      <c r="J1175" s="38"/>
      <c r="K1175" s="38"/>
      <c r="L1175" s="39"/>
      <c r="M1175" s="38"/>
      <c r="N1175" s="38"/>
      <c r="O1175" s="38"/>
      <c r="P1175" s="38"/>
      <c r="Q1175" s="38"/>
      <c r="R1175" s="38"/>
      <c r="S1175" s="38"/>
      <c r="BH1175" s="36"/>
    </row>
    <row r="1176" spans="3:60" x14ac:dyDescent="0.25">
      <c r="C1176" s="35"/>
      <c r="L1176" s="39"/>
      <c r="BH1176" s="36"/>
    </row>
    <row r="1177" spans="3:60" x14ac:dyDescent="0.25">
      <c r="C1177" s="35"/>
      <c r="G1177" s="38"/>
      <c r="H1177" s="38"/>
      <c r="I1177" s="38"/>
      <c r="J1177" s="38"/>
      <c r="K1177" s="38"/>
      <c r="L1177" s="39"/>
      <c r="M1177" s="38"/>
      <c r="N1177" s="38"/>
      <c r="O1177" s="38"/>
      <c r="P1177" s="38"/>
      <c r="Q1177" s="38"/>
      <c r="R1177" s="38"/>
      <c r="S1177" s="38"/>
      <c r="BH1177" s="36"/>
    </row>
    <row r="1178" spans="3:60" x14ac:dyDescent="0.25">
      <c r="C1178" s="35"/>
      <c r="L1178" s="39"/>
      <c r="BH1178" s="36"/>
    </row>
    <row r="1179" spans="3:60" x14ac:dyDescent="0.25">
      <c r="C1179" s="35"/>
      <c r="G1179" s="38"/>
      <c r="H1179" s="38"/>
      <c r="I1179" s="38"/>
      <c r="J1179" s="38"/>
      <c r="K1179" s="38"/>
      <c r="L1179" s="39"/>
      <c r="M1179" s="38"/>
      <c r="N1179" s="38"/>
      <c r="O1179" s="38"/>
      <c r="P1179" s="38"/>
      <c r="Q1179" s="38"/>
      <c r="R1179" s="38"/>
      <c r="S1179" s="38"/>
      <c r="BH1179" s="36"/>
    </row>
    <row r="1180" spans="3:60" x14ac:dyDescent="0.25">
      <c r="C1180" s="35"/>
      <c r="L1180" s="39"/>
      <c r="BH1180" s="36"/>
    </row>
    <row r="1181" spans="3:60" x14ac:dyDescent="0.25">
      <c r="C1181" s="35"/>
      <c r="G1181" s="38"/>
      <c r="H1181" s="38"/>
      <c r="I1181" s="38"/>
      <c r="J1181" s="38"/>
      <c r="K1181" s="38"/>
      <c r="L1181" s="39"/>
      <c r="M1181" s="38"/>
      <c r="N1181" s="38"/>
      <c r="O1181" s="38"/>
      <c r="P1181" s="38"/>
      <c r="Q1181" s="38"/>
      <c r="R1181" s="38"/>
      <c r="S1181" s="38"/>
      <c r="BH1181" s="36"/>
    </row>
    <row r="1182" spans="3:60" x14ac:dyDescent="0.25">
      <c r="C1182" s="35"/>
      <c r="L1182" s="39"/>
      <c r="BH1182" s="36"/>
    </row>
    <row r="1183" spans="3:60" x14ac:dyDescent="0.25">
      <c r="C1183" s="35"/>
      <c r="G1183" s="38"/>
      <c r="H1183" s="38"/>
      <c r="I1183" s="38"/>
      <c r="J1183" s="38"/>
      <c r="K1183" s="38"/>
      <c r="L1183" s="39"/>
      <c r="M1183" s="38"/>
      <c r="N1183" s="38"/>
      <c r="O1183" s="38"/>
      <c r="P1183" s="38"/>
      <c r="Q1183" s="38"/>
      <c r="R1183" s="38"/>
      <c r="S1183" s="38"/>
      <c r="BH1183" s="36"/>
    </row>
    <row r="1184" spans="3:60" x14ac:dyDescent="0.25">
      <c r="C1184" s="35"/>
      <c r="L1184" s="39"/>
      <c r="BH1184" s="36"/>
    </row>
    <row r="1185" spans="3:60" x14ac:dyDescent="0.25">
      <c r="C1185" s="35"/>
      <c r="G1185" s="38"/>
      <c r="H1185" s="38"/>
      <c r="I1185" s="38"/>
      <c r="J1185" s="38"/>
      <c r="K1185" s="38"/>
      <c r="L1185" s="39"/>
      <c r="M1185" s="38"/>
      <c r="N1185" s="38"/>
      <c r="O1185" s="38"/>
      <c r="P1185" s="38"/>
      <c r="Q1185" s="38"/>
      <c r="R1185" s="38"/>
      <c r="S1185" s="38"/>
      <c r="BH1185" s="36"/>
    </row>
    <row r="1186" spans="3:60" x14ac:dyDescent="0.25">
      <c r="C1186" s="35"/>
      <c r="L1186" s="39"/>
      <c r="BH1186" s="36"/>
    </row>
    <row r="1187" spans="3:60" x14ac:dyDescent="0.25">
      <c r="C1187" s="35"/>
      <c r="G1187" s="38"/>
      <c r="H1187" s="38"/>
      <c r="I1187" s="38"/>
      <c r="J1187" s="38"/>
      <c r="K1187" s="38"/>
      <c r="L1187" s="39"/>
      <c r="M1187" s="38"/>
      <c r="N1187" s="38"/>
      <c r="O1187" s="38"/>
      <c r="P1187" s="38"/>
      <c r="Q1187" s="38"/>
      <c r="R1187" s="38"/>
      <c r="S1187" s="38"/>
      <c r="BH1187" s="36"/>
    </row>
    <row r="1188" spans="3:60" x14ac:dyDescent="0.25">
      <c r="C1188" s="35"/>
      <c r="L1188" s="39"/>
      <c r="BH1188" s="36"/>
    </row>
    <row r="1189" spans="3:60" x14ac:dyDescent="0.25">
      <c r="C1189" s="35"/>
      <c r="G1189" s="38"/>
      <c r="H1189" s="38"/>
      <c r="I1189" s="38"/>
      <c r="J1189" s="38"/>
      <c r="K1189" s="38"/>
      <c r="L1189" s="39"/>
      <c r="M1189" s="38"/>
      <c r="N1189" s="38"/>
      <c r="O1189" s="38"/>
      <c r="P1189" s="38"/>
      <c r="Q1189" s="38"/>
      <c r="R1189" s="38"/>
      <c r="S1189" s="38"/>
      <c r="BH1189" s="36"/>
    </row>
    <row r="1190" spans="3:60" x14ac:dyDescent="0.25">
      <c r="C1190" s="35"/>
      <c r="L1190" s="39"/>
      <c r="BH1190" s="36"/>
    </row>
    <row r="1191" spans="3:60" x14ac:dyDescent="0.25">
      <c r="C1191" s="35"/>
      <c r="G1191" s="38"/>
      <c r="H1191" s="38"/>
      <c r="I1191" s="38"/>
      <c r="J1191" s="38"/>
      <c r="K1191" s="38"/>
      <c r="L1191" s="39"/>
      <c r="M1191" s="38"/>
      <c r="N1191" s="38"/>
      <c r="O1191" s="38"/>
      <c r="P1191" s="38"/>
      <c r="Q1191" s="38"/>
      <c r="R1191" s="38"/>
      <c r="S1191" s="38"/>
      <c r="BH1191" s="36"/>
    </row>
    <row r="1192" spans="3:60" x14ac:dyDescent="0.25">
      <c r="C1192" s="35"/>
      <c r="L1192" s="39"/>
      <c r="BH1192" s="36"/>
    </row>
    <row r="1193" spans="3:60" x14ac:dyDescent="0.25">
      <c r="C1193" s="35"/>
      <c r="G1193" s="38"/>
      <c r="H1193" s="38"/>
      <c r="I1193" s="38"/>
      <c r="J1193" s="38"/>
      <c r="K1193" s="38"/>
      <c r="L1193" s="39"/>
      <c r="M1193" s="38"/>
      <c r="N1193" s="38"/>
      <c r="O1193" s="38"/>
      <c r="P1193" s="38"/>
      <c r="Q1193" s="38"/>
      <c r="R1193" s="38"/>
      <c r="S1193" s="38"/>
      <c r="BH1193" s="36"/>
    </row>
    <row r="1194" spans="3:60" x14ac:dyDescent="0.25">
      <c r="C1194" s="35"/>
      <c r="L1194" s="39"/>
      <c r="BH1194" s="36"/>
    </row>
    <row r="1195" spans="3:60" x14ac:dyDescent="0.25">
      <c r="C1195" s="35"/>
      <c r="G1195" s="38"/>
      <c r="H1195" s="38"/>
      <c r="I1195" s="38"/>
      <c r="J1195" s="38"/>
      <c r="K1195" s="38"/>
      <c r="L1195" s="39"/>
      <c r="M1195" s="38"/>
      <c r="N1195" s="38"/>
      <c r="O1195" s="38"/>
      <c r="P1195" s="38"/>
      <c r="Q1195" s="38"/>
      <c r="R1195" s="38"/>
      <c r="S1195" s="38"/>
      <c r="BH1195" s="36"/>
    </row>
    <row r="1196" spans="3:60" x14ac:dyDescent="0.25">
      <c r="C1196" s="35"/>
      <c r="L1196" s="39"/>
      <c r="BH1196" s="36"/>
    </row>
    <row r="1197" spans="3:60" x14ac:dyDescent="0.25">
      <c r="C1197" s="35"/>
      <c r="G1197" s="38"/>
      <c r="H1197" s="38"/>
      <c r="I1197" s="38"/>
      <c r="J1197" s="38"/>
      <c r="K1197" s="38"/>
      <c r="L1197" s="39"/>
      <c r="M1197" s="38"/>
      <c r="N1197" s="38"/>
      <c r="O1197" s="38"/>
      <c r="P1197" s="38"/>
      <c r="Q1197" s="38"/>
      <c r="R1197" s="38"/>
      <c r="S1197" s="38"/>
      <c r="BH1197" s="36"/>
    </row>
    <row r="1198" spans="3:60" x14ac:dyDescent="0.25">
      <c r="C1198" s="35"/>
      <c r="L1198" s="39"/>
      <c r="BH1198" s="36"/>
    </row>
    <row r="1199" spans="3:60" x14ac:dyDescent="0.25">
      <c r="C1199" s="35"/>
      <c r="G1199" s="38"/>
      <c r="H1199" s="38"/>
      <c r="I1199" s="38"/>
      <c r="J1199" s="38"/>
      <c r="K1199" s="38"/>
      <c r="L1199" s="39"/>
      <c r="M1199" s="38"/>
      <c r="N1199" s="38"/>
      <c r="O1199" s="38"/>
      <c r="P1199" s="38"/>
      <c r="Q1199" s="38"/>
      <c r="R1199" s="38"/>
      <c r="S1199" s="38"/>
      <c r="BH1199" s="36"/>
    </row>
    <row r="1200" spans="3:60" x14ac:dyDescent="0.25">
      <c r="C1200" s="35"/>
      <c r="L1200" s="39"/>
      <c r="BH1200" s="36"/>
    </row>
    <row r="1201" spans="3:60" x14ac:dyDescent="0.25">
      <c r="C1201" s="35"/>
      <c r="G1201" s="38"/>
      <c r="H1201" s="38"/>
      <c r="I1201" s="38"/>
      <c r="J1201" s="38"/>
      <c r="K1201" s="38"/>
      <c r="L1201" s="39"/>
      <c r="M1201" s="38"/>
      <c r="N1201" s="38"/>
      <c r="O1201" s="38"/>
      <c r="P1201" s="38"/>
      <c r="Q1201" s="38"/>
      <c r="R1201" s="38"/>
      <c r="S1201" s="38"/>
      <c r="BH1201" s="36"/>
    </row>
    <row r="1202" spans="3:60" x14ac:dyDescent="0.25">
      <c r="C1202" s="35"/>
      <c r="L1202" s="39"/>
      <c r="BH1202" s="36"/>
    </row>
    <row r="1203" spans="3:60" x14ac:dyDescent="0.25">
      <c r="C1203" s="35"/>
      <c r="G1203" s="38"/>
      <c r="H1203" s="38"/>
      <c r="I1203" s="38"/>
      <c r="J1203" s="38"/>
      <c r="K1203" s="38"/>
      <c r="L1203" s="39"/>
      <c r="M1203" s="38"/>
      <c r="N1203" s="38"/>
      <c r="O1203" s="38"/>
      <c r="P1203" s="38"/>
      <c r="Q1203" s="38"/>
      <c r="R1203" s="38"/>
      <c r="S1203" s="38"/>
      <c r="BH1203" s="36"/>
    </row>
    <row r="1204" spans="3:60" x14ac:dyDescent="0.25">
      <c r="C1204" s="35"/>
      <c r="L1204" s="39"/>
      <c r="BH1204" s="36"/>
    </row>
    <row r="1205" spans="3:60" x14ac:dyDescent="0.25">
      <c r="C1205" s="35"/>
      <c r="G1205" s="38"/>
      <c r="H1205" s="38"/>
      <c r="I1205" s="38"/>
      <c r="J1205" s="38"/>
      <c r="K1205" s="38"/>
      <c r="L1205" s="39"/>
      <c r="M1205" s="38"/>
      <c r="N1205" s="38"/>
      <c r="O1205" s="38"/>
      <c r="P1205" s="38"/>
      <c r="Q1205" s="38"/>
      <c r="R1205" s="38"/>
      <c r="S1205" s="38"/>
      <c r="BH1205" s="36"/>
    </row>
    <row r="1206" spans="3:60" x14ac:dyDescent="0.25">
      <c r="C1206" s="35"/>
      <c r="L1206" s="39"/>
      <c r="BH1206" s="36"/>
    </row>
    <row r="1207" spans="3:60" x14ac:dyDescent="0.25">
      <c r="C1207" s="35"/>
      <c r="G1207" s="38"/>
      <c r="H1207" s="38"/>
      <c r="I1207" s="38"/>
      <c r="J1207" s="38"/>
      <c r="K1207" s="38"/>
      <c r="L1207" s="39"/>
      <c r="M1207" s="38"/>
      <c r="N1207" s="38"/>
      <c r="O1207" s="38"/>
      <c r="P1207" s="38"/>
      <c r="Q1207" s="38"/>
      <c r="R1207" s="38"/>
      <c r="S1207" s="38"/>
      <c r="BH1207" s="36"/>
    </row>
    <row r="1208" spans="3:60" x14ac:dyDescent="0.25">
      <c r="C1208" s="35"/>
      <c r="L1208" s="39"/>
      <c r="BH1208" s="36"/>
    </row>
    <row r="1209" spans="3:60" x14ac:dyDescent="0.25">
      <c r="C1209" s="35"/>
      <c r="G1209" s="38"/>
      <c r="H1209" s="38"/>
      <c r="I1209" s="38"/>
      <c r="J1209" s="38"/>
      <c r="K1209" s="38"/>
      <c r="L1209" s="39"/>
      <c r="M1209" s="38"/>
      <c r="N1209" s="38"/>
      <c r="O1209" s="38"/>
      <c r="P1209" s="38"/>
      <c r="Q1209" s="38"/>
      <c r="R1209" s="38"/>
      <c r="S1209" s="38"/>
      <c r="BH1209" s="36"/>
    </row>
    <row r="1210" spans="3:60" x14ac:dyDescent="0.25">
      <c r="C1210" s="35"/>
      <c r="L1210" s="39"/>
      <c r="BH1210" s="36"/>
    </row>
    <row r="1211" spans="3:60" x14ac:dyDescent="0.25">
      <c r="C1211" s="35"/>
      <c r="G1211" s="38"/>
      <c r="H1211" s="38"/>
      <c r="I1211" s="38"/>
      <c r="J1211" s="38"/>
      <c r="K1211" s="38"/>
      <c r="L1211" s="39"/>
      <c r="M1211" s="38"/>
      <c r="N1211" s="38"/>
      <c r="O1211" s="38"/>
      <c r="P1211" s="38"/>
      <c r="Q1211" s="38"/>
      <c r="R1211" s="38"/>
      <c r="S1211" s="38"/>
      <c r="BH1211" s="36"/>
    </row>
    <row r="1212" spans="3:60" x14ac:dyDescent="0.25">
      <c r="C1212" s="35"/>
      <c r="L1212" s="39"/>
      <c r="BH1212" s="36"/>
    </row>
    <row r="1213" spans="3:60" x14ac:dyDescent="0.25">
      <c r="C1213" s="35"/>
      <c r="G1213" s="38"/>
      <c r="H1213" s="38"/>
      <c r="I1213" s="38"/>
      <c r="J1213" s="38"/>
      <c r="K1213" s="38"/>
      <c r="L1213" s="39"/>
      <c r="M1213" s="38"/>
      <c r="N1213" s="38"/>
      <c r="O1213" s="38"/>
      <c r="P1213" s="38"/>
      <c r="Q1213" s="38"/>
      <c r="R1213" s="38"/>
      <c r="S1213" s="38"/>
      <c r="BH1213" s="36"/>
    </row>
    <row r="1214" spans="3:60" x14ac:dyDescent="0.25">
      <c r="C1214" s="35"/>
      <c r="L1214" s="39"/>
      <c r="BH1214" s="36"/>
    </row>
    <row r="1215" spans="3:60" x14ac:dyDescent="0.25">
      <c r="C1215" s="35"/>
      <c r="G1215" s="38"/>
      <c r="H1215" s="38"/>
      <c r="I1215" s="38"/>
      <c r="J1215" s="38"/>
      <c r="K1215" s="38"/>
      <c r="L1215" s="39"/>
      <c r="M1215" s="38"/>
      <c r="N1215" s="38"/>
      <c r="O1215" s="38"/>
      <c r="P1215" s="38"/>
      <c r="Q1215" s="38"/>
      <c r="R1215" s="38"/>
      <c r="S1215" s="38"/>
      <c r="BH1215" s="36"/>
    </row>
    <row r="1216" spans="3:60" x14ac:dyDescent="0.25">
      <c r="C1216" s="35"/>
      <c r="L1216" s="39"/>
      <c r="BH1216" s="36"/>
    </row>
    <row r="1217" spans="3:60" x14ac:dyDescent="0.25">
      <c r="C1217" s="35"/>
      <c r="G1217" s="38"/>
      <c r="H1217" s="38"/>
      <c r="I1217" s="38"/>
      <c r="J1217" s="38"/>
      <c r="K1217" s="38"/>
      <c r="L1217" s="39"/>
      <c r="M1217" s="38"/>
      <c r="N1217" s="38"/>
      <c r="O1217" s="38"/>
      <c r="P1217" s="38"/>
      <c r="Q1217" s="38"/>
      <c r="R1217" s="38"/>
      <c r="S1217" s="38"/>
      <c r="BH1217" s="36"/>
    </row>
    <row r="1218" spans="3:60" x14ac:dyDescent="0.25">
      <c r="C1218" s="35"/>
      <c r="L1218" s="39"/>
      <c r="BH1218" s="36"/>
    </row>
    <row r="1219" spans="3:60" x14ac:dyDescent="0.25">
      <c r="C1219" s="35"/>
      <c r="G1219" s="38"/>
      <c r="H1219" s="38"/>
      <c r="I1219" s="38"/>
      <c r="J1219" s="38"/>
      <c r="K1219" s="38"/>
      <c r="L1219" s="39"/>
      <c r="M1219" s="38"/>
      <c r="N1219" s="38"/>
      <c r="O1219" s="38"/>
      <c r="P1219" s="38"/>
      <c r="Q1219" s="38"/>
      <c r="R1219" s="38"/>
      <c r="S1219" s="38"/>
      <c r="BH1219" s="36"/>
    </row>
    <row r="1220" spans="3:60" x14ac:dyDescent="0.25">
      <c r="C1220" s="35"/>
      <c r="L1220" s="39"/>
      <c r="BH1220" s="36"/>
    </row>
    <row r="1221" spans="3:60" x14ac:dyDescent="0.25">
      <c r="C1221" s="35"/>
      <c r="G1221" s="38"/>
      <c r="H1221" s="38"/>
      <c r="I1221" s="38"/>
      <c r="J1221" s="38"/>
      <c r="K1221" s="38"/>
      <c r="L1221" s="39"/>
      <c r="M1221" s="38"/>
      <c r="N1221" s="38"/>
      <c r="O1221" s="38"/>
      <c r="P1221" s="38"/>
      <c r="Q1221" s="38"/>
      <c r="R1221" s="38"/>
      <c r="S1221" s="38"/>
      <c r="BH1221" s="36"/>
    </row>
    <row r="1222" spans="3:60" x14ac:dyDescent="0.25">
      <c r="C1222" s="35"/>
      <c r="L1222" s="39"/>
      <c r="BH1222" s="36"/>
    </row>
    <row r="1223" spans="3:60" x14ac:dyDescent="0.25">
      <c r="C1223" s="35"/>
      <c r="G1223" s="38"/>
      <c r="H1223" s="38"/>
      <c r="I1223" s="38"/>
      <c r="J1223" s="38"/>
      <c r="K1223" s="38"/>
      <c r="L1223" s="39"/>
      <c r="M1223" s="38"/>
      <c r="N1223" s="38"/>
      <c r="O1223" s="38"/>
      <c r="P1223" s="38"/>
      <c r="Q1223" s="38"/>
      <c r="R1223" s="38"/>
      <c r="S1223" s="38"/>
      <c r="BH1223" s="36"/>
    </row>
    <row r="1224" spans="3:60" x14ac:dyDescent="0.25">
      <c r="C1224" s="35"/>
      <c r="L1224" s="39"/>
      <c r="BH1224" s="36"/>
    </row>
    <row r="1225" spans="3:60" x14ac:dyDescent="0.25">
      <c r="C1225" s="35"/>
      <c r="G1225" s="38"/>
      <c r="H1225" s="38"/>
      <c r="I1225" s="38"/>
      <c r="J1225" s="38"/>
      <c r="K1225" s="38"/>
      <c r="L1225" s="39"/>
      <c r="M1225" s="38"/>
      <c r="N1225" s="38"/>
      <c r="O1225" s="38"/>
      <c r="P1225" s="38"/>
      <c r="Q1225" s="38"/>
      <c r="R1225" s="38"/>
      <c r="S1225" s="38"/>
      <c r="BH1225" s="36"/>
    </row>
    <row r="1226" spans="3:60" x14ac:dyDescent="0.25">
      <c r="C1226" s="35"/>
      <c r="L1226" s="39"/>
      <c r="BH1226" s="36"/>
    </row>
    <row r="1227" spans="3:60" x14ac:dyDescent="0.25">
      <c r="C1227" s="35"/>
      <c r="G1227" s="38"/>
      <c r="H1227" s="38"/>
      <c r="I1227" s="38"/>
      <c r="J1227" s="38"/>
      <c r="K1227" s="38"/>
      <c r="L1227" s="39"/>
      <c r="M1227" s="38"/>
      <c r="N1227" s="38"/>
      <c r="O1227" s="38"/>
      <c r="P1227" s="38"/>
      <c r="Q1227" s="38"/>
      <c r="R1227" s="38"/>
      <c r="S1227" s="38"/>
      <c r="BH1227" s="36"/>
    </row>
    <row r="1228" spans="3:60" x14ac:dyDescent="0.25">
      <c r="C1228" s="35"/>
      <c r="L1228" s="39"/>
      <c r="BH1228" s="36"/>
    </row>
    <row r="1229" spans="3:60" x14ac:dyDescent="0.25">
      <c r="C1229" s="35"/>
      <c r="G1229" s="38"/>
      <c r="H1229" s="38"/>
      <c r="I1229" s="38"/>
      <c r="J1229" s="38"/>
      <c r="K1229" s="38"/>
      <c r="L1229" s="39"/>
      <c r="M1229" s="38"/>
      <c r="N1229" s="38"/>
      <c r="O1229" s="38"/>
      <c r="P1229" s="38"/>
      <c r="Q1229" s="38"/>
      <c r="R1229" s="38"/>
      <c r="S1229" s="38"/>
      <c r="BH1229" s="36"/>
    </row>
    <row r="1230" spans="3:60" x14ac:dyDescent="0.25">
      <c r="C1230" s="35"/>
      <c r="L1230" s="39"/>
      <c r="BH1230" s="36"/>
    </row>
    <row r="1231" spans="3:60" x14ac:dyDescent="0.25">
      <c r="C1231" s="35"/>
      <c r="G1231" s="38"/>
      <c r="H1231" s="38"/>
      <c r="I1231" s="38"/>
      <c r="J1231" s="38"/>
      <c r="K1231" s="38"/>
      <c r="L1231" s="39"/>
      <c r="M1231" s="38"/>
      <c r="N1231" s="38"/>
      <c r="O1231" s="38"/>
      <c r="P1231" s="38"/>
      <c r="Q1231" s="38"/>
      <c r="R1231" s="38"/>
      <c r="S1231" s="38"/>
      <c r="BH1231" s="36"/>
    </row>
    <row r="1232" spans="3:60" x14ac:dyDescent="0.25">
      <c r="C1232" s="35"/>
      <c r="L1232" s="39"/>
      <c r="BH1232" s="36"/>
    </row>
    <row r="1233" spans="3:60" x14ac:dyDescent="0.25">
      <c r="C1233" s="35"/>
      <c r="G1233" s="38"/>
      <c r="H1233" s="38"/>
      <c r="I1233" s="38"/>
      <c r="J1233" s="38"/>
      <c r="K1233" s="38"/>
      <c r="L1233" s="39"/>
      <c r="M1233" s="38"/>
      <c r="N1233" s="38"/>
      <c r="O1233" s="38"/>
      <c r="P1233" s="38"/>
      <c r="Q1233" s="38"/>
      <c r="R1233" s="38"/>
      <c r="S1233" s="38"/>
      <c r="BH1233" s="36"/>
    </row>
    <row r="1234" spans="3:60" x14ac:dyDescent="0.25">
      <c r="C1234" s="35"/>
      <c r="L1234" s="39"/>
      <c r="BH1234" s="36"/>
    </row>
    <row r="1235" spans="3:60" x14ac:dyDescent="0.25">
      <c r="C1235" s="35"/>
      <c r="G1235" s="38"/>
      <c r="H1235" s="38"/>
      <c r="I1235" s="38"/>
      <c r="J1235" s="38"/>
      <c r="K1235" s="38"/>
      <c r="L1235" s="39"/>
      <c r="M1235" s="38"/>
      <c r="N1235" s="38"/>
      <c r="O1235" s="38"/>
      <c r="P1235" s="38"/>
      <c r="Q1235" s="38"/>
      <c r="R1235" s="38"/>
      <c r="S1235" s="38"/>
      <c r="BH1235" s="36"/>
    </row>
    <row r="1236" spans="3:60" x14ac:dyDescent="0.25">
      <c r="C1236" s="35"/>
      <c r="L1236" s="39"/>
      <c r="BH1236" s="36"/>
    </row>
    <row r="1237" spans="3:60" x14ac:dyDescent="0.25">
      <c r="C1237" s="35"/>
      <c r="G1237" s="38"/>
      <c r="H1237" s="38"/>
      <c r="I1237" s="38"/>
      <c r="J1237" s="38"/>
      <c r="K1237" s="38"/>
      <c r="L1237" s="39"/>
      <c r="M1237" s="38"/>
      <c r="N1237" s="38"/>
      <c r="O1237" s="38"/>
      <c r="P1237" s="38"/>
      <c r="Q1237" s="38"/>
      <c r="R1237" s="38"/>
      <c r="S1237" s="38"/>
      <c r="BH1237" s="36"/>
    </row>
    <row r="1238" spans="3:60" x14ac:dyDescent="0.25">
      <c r="C1238" s="35"/>
      <c r="L1238" s="39"/>
      <c r="BH1238" s="36"/>
    </row>
    <row r="1239" spans="3:60" x14ac:dyDescent="0.25">
      <c r="C1239" s="35"/>
      <c r="G1239" s="38"/>
      <c r="H1239" s="38"/>
      <c r="I1239" s="38"/>
      <c r="J1239" s="38"/>
      <c r="K1239" s="38"/>
      <c r="L1239" s="39"/>
      <c r="M1239" s="38"/>
      <c r="N1239" s="38"/>
      <c r="O1239" s="38"/>
      <c r="P1239" s="38"/>
      <c r="Q1239" s="38"/>
      <c r="R1239" s="38"/>
      <c r="S1239" s="38"/>
      <c r="BH1239" s="36"/>
    </row>
    <row r="1240" spans="3:60" x14ac:dyDescent="0.25">
      <c r="C1240" s="35"/>
      <c r="L1240" s="39"/>
      <c r="BH1240" s="36"/>
    </row>
    <row r="1241" spans="3:60" x14ac:dyDescent="0.25">
      <c r="C1241" s="35"/>
      <c r="G1241" s="38"/>
      <c r="H1241" s="38"/>
      <c r="I1241" s="38"/>
      <c r="J1241" s="38"/>
      <c r="K1241" s="38"/>
      <c r="L1241" s="39"/>
      <c r="M1241" s="38"/>
      <c r="N1241" s="38"/>
      <c r="O1241" s="38"/>
      <c r="P1241" s="38"/>
      <c r="Q1241" s="38"/>
      <c r="R1241" s="38"/>
      <c r="S1241" s="38"/>
      <c r="BH1241" s="36"/>
    </row>
    <row r="1242" spans="3:60" x14ac:dyDescent="0.25">
      <c r="C1242" s="35"/>
      <c r="L1242" s="39"/>
      <c r="BH1242" s="36"/>
    </row>
    <row r="1243" spans="3:60" x14ac:dyDescent="0.25">
      <c r="C1243" s="35"/>
      <c r="G1243" s="38"/>
      <c r="H1243" s="38"/>
      <c r="I1243" s="38"/>
      <c r="J1243" s="38"/>
      <c r="K1243" s="38"/>
      <c r="L1243" s="39"/>
      <c r="M1243" s="38"/>
      <c r="N1243" s="38"/>
      <c r="O1243" s="38"/>
      <c r="P1243" s="38"/>
      <c r="Q1243" s="38"/>
      <c r="R1243" s="38"/>
      <c r="S1243" s="38"/>
      <c r="BH1243" s="36"/>
    </row>
    <row r="1244" spans="3:60" x14ac:dyDescent="0.25">
      <c r="C1244" s="35"/>
      <c r="L1244" s="39"/>
      <c r="BH1244" s="36"/>
    </row>
    <row r="1245" spans="3:60" x14ac:dyDescent="0.25">
      <c r="C1245" s="35"/>
      <c r="G1245" s="38"/>
      <c r="H1245" s="38"/>
      <c r="I1245" s="38"/>
      <c r="J1245" s="38"/>
      <c r="K1245" s="38"/>
      <c r="L1245" s="39"/>
      <c r="M1245" s="38"/>
      <c r="N1245" s="38"/>
      <c r="O1245" s="38"/>
      <c r="P1245" s="38"/>
      <c r="Q1245" s="38"/>
      <c r="R1245" s="38"/>
      <c r="S1245" s="38"/>
      <c r="BH1245" s="36"/>
    </row>
    <row r="1246" spans="3:60" x14ac:dyDescent="0.25">
      <c r="C1246" s="35"/>
      <c r="L1246" s="39"/>
      <c r="BH1246" s="36"/>
    </row>
    <row r="1247" spans="3:60" x14ac:dyDescent="0.25">
      <c r="C1247" s="35"/>
      <c r="G1247" s="38"/>
      <c r="H1247" s="38"/>
      <c r="I1247" s="38"/>
      <c r="J1247" s="38"/>
      <c r="K1247" s="38"/>
      <c r="L1247" s="39"/>
      <c r="M1247" s="38"/>
      <c r="N1247" s="38"/>
      <c r="O1247" s="38"/>
      <c r="P1247" s="38"/>
      <c r="Q1247" s="38"/>
      <c r="R1247" s="38"/>
      <c r="S1247" s="38"/>
      <c r="BH1247" s="36"/>
    </row>
    <row r="1248" spans="3:60" x14ac:dyDescent="0.25">
      <c r="C1248" s="35"/>
      <c r="L1248" s="39"/>
      <c r="BH1248" s="36"/>
    </row>
    <row r="1249" spans="3:60" x14ac:dyDescent="0.25">
      <c r="C1249" s="35"/>
      <c r="G1249" s="38"/>
      <c r="H1249" s="38"/>
      <c r="I1249" s="38"/>
      <c r="J1249" s="38"/>
      <c r="K1249" s="38"/>
      <c r="L1249" s="39"/>
      <c r="M1249" s="38"/>
      <c r="N1249" s="38"/>
      <c r="O1249" s="38"/>
      <c r="P1249" s="38"/>
      <c r="Q1249" s="38"/>
      <c r="R1249" s="38"/>
      <c r="S1249" s="38"/>
      <c r="BH1249" s="36"/>
    </row>
    <row r="1250" spans="3:60" x14ac:dyDescent="0.25">
      <c r="C1250" s="35"/>
      <c r="L1250" s="39"/>
      <c r="BH1250" s="36"/>
    </row>
    <row r="1251" spans="3:60" x14ac:dyDescent="0.25">
      <c r="C1251" s="35"/>
      <c r="G1251" s="38"/>
      <c r="H1251" s="38"/>
      <c r="I1251" s="38"/>
      <c r="J1251" s="38"/>
      <c r="K1251" s="38"/>
      <c r="L1251" s="39"/>
      <c r="M1251" s="38"/>
      <c r="N1251" s="38"/>
      <c r="O1251" s="38"/>
      <c r="P1251" s="38"/>
      <c r="Q1251" s="38"/>
      <c r="R1251" s="38"/>
      <c r="S1251" s="38"/>
      <c r="BH1251" s="36"/>
    </row>
    <row r="1252" spans="3:60" x14ac:dyDescent="0.25">
      <c r="C1252" s="35"/>
      <c r="L1252" s="39"/>
      <c r="BH1252" s="36"/>
    </row>
    <row r="1253" spans="3:60" x14ac:dyDescent="0.25">
      <c r="C1253" s="35"/>
      <c r="G1253" s="38"/>
      <c r="H1253" s="38"/>
      <c r="I1253" s="38"/>
      <c r="J1253" s="38"/>
      <c r="K1253" s="38"/>
      <c r="L1253" s="39"/>
      <c r="M1253" s="38"/>
      <c r="N1253" s="38"/>
      <c r="O1253" s="38"/>
      <c r="P1253" s="38"/>
      <c r="Q1253" s="38"/>
      <c r="R1253" s="38"/>
      <c r="S1253" s="38"/>
      <c r="BH1253" s="36"/>
    </row>
    <row r="1254" spans="3:60" x14ac:dyDescent="0.25">
      <c r="C1254" s="35"/>
      <c r="L1254" s="39"/>
      <c r="BH1254" s="36"/>
    </row>
    <row r="1255" spans="3:60" x14ac:dyDescent="0.25">
      <c r="C1255" s="35"/>
      <c r="G1255" s="38"/>
      <c r="H1255" s="38"/>
      <c r="I1255" s="38"/>
      <c r="J1255" s="38"/>
      <c r="K1255" s="38"/>
      <c r="L1255" s="39"/>
      <c r="M1255" s="38"/>
      <c r="N1255" s="38"/>
      <c r="O1255" s="38"/>
      <c r="P1255" s="38"/>
      <c r="Q1255" s="38"/>
      <c r="R1255" s="38"/>
      <c r="S1255" s="38"/>
      <c r="BH1255" s="36"/>
    </row>
    <row r="1256" spans="3:60" x14ac:dyDescent="0.25">
      <c r="C1256" s="35"/>
      <c r="L1256" s="39"/>
      <c r="BH1256" s="36"/>
    </row>
    <row r="1257" spans="3:60" x14ac:dyDescent="0.25">
      <c r="C1257" s="35"/>
      <c r="G1257" s="38"/>
      <c r="H1257" s="38"/>
      <c r="I1257" s="38"/>
      <c r="J1257" s="38"/>
      <c r="K1257" s="38"/>
      <c r="L1257" s="39"/>
      <c r="M1257" s="38"/>
      <c r="N1257" s="38"/>
      <c r="O1257" s="38"/>
      <c r="P1257" s="38"/>
      <c r="Q1257" s="38"/>
      <c r="R1257" s="38"/>
      <c r="S1257" s="38"/>
      <c r="BH1257" s="36"/>
    </row>
    <row r="1258" spans="3:60" x14ac:dyDescent="0.25">
      <c r="C1258" s="35"/>
      <c r="L1258" s="39"/>
      <c r="BH1258" s="36"/>
    </row>
    <row r="1259" spans="3:60" x14ac:dyDescent="0.25">
      <c r="C1259" s="35"/>
      <c r="G1259" s="38"/>
      <c r="H1259" s="38"/>
      <c r="I1259" s="38"/>
      <c r="J1259" s="38"/>
      <c r="K1259" s="38"/>
      <c r="L1259" s="39"/>
      <c r="M1259" s="38"/>
      <c r="N1259" s="38"/>
      <c r="O1259" s="38"/>
      <c r="P1259" s="38"/>
      <c r="Q1259" s="38"/>
      <c r="R1259" s="38"/>
      <c r="S1259" s="38"/>
      <c r="BH1259" s="36"/>
    </row>
    <row r="1260" spans="3:60" x14ac:dyDescent="0.25">
      <c r="C1260" s="35"/>
      <c r="L1260" s="39"/>
      <c r="BH1260" s="36"/>
    </row>
    <row r="1261" spans="3:60" x14ac:dyDescent="0.25">
      <c r="C1261" s="35"/>
      <c r="G1261" s="38"/>
      <c r="H1261" s="38"/>
      <c r="I1261" s="38"/>
      <c r="J1261" s="38"/>
      <c r="K1261" s="38"/>
      <c r="L1261" s="39"/>
      <c r="M1261" s="38"/>
      <c r="N1261" s="38"/>
      <c r="O1261" s="38"/>
      <c r="P1261" s="38"/>
      <c r="Q1261" s="38"/>
      <c r="R1261" s="38"/>
      <c r="S1261" s="38"/>
      <c r="BH1261" s="36"/>
    </row>
    <row r="1262" spans="3:60" x14ac:dyDescent="0.25">
      <c r="C1262" s="35"/>
      <c r="L1262" s="39"/>
      <c r="BH1262" s="36"/>
    </row>
    <row r="1263" spans="3:60" x14ac:dyDescent="0.25">
      <c r="C1263" s="35"/>
      <c r="G1263" s="38"/>
      <c r="H1263" s="38"/>
      <c r="I1263" s="38"/>
      <c r="J1263" s="38"/>
      <c r="K1263" s="38"/>
      <c r="L1263" s="39"/>
      <c r="M1263" s="38"/>
      <c r="N1263" s="38"/>
      <c r="O1263" s="38"/>
      <c r="P1263" s="38"/>
      <c r="Q1263" s="38"/>
      <c r="R1263" s="38"/>
      <c r="S1263" s="38"/>
      <c r="BH1263" s="36"/>
    </row>
    <row r="1264" spans="3:60" x14ac:dyDescent="0.25">
      <c r="C1264" s="35"/>
      <c r="L1264" s="39"/>
      <c r="BH1264" s="36"/>
    </row>
    <row r="1265" spans="3:60" x14ac:dyDescent="0.25">
      <c r="C1265" s="35"/>
      <c r="G1265" s="38"/>
      <c r="H1265" s="38"/>
      <c r="I1265" s="38"/>
      <c r="J1265" s="38"/>
      <c r="K1265" s="38"/>
      <c r="L1265" s="39"/>
      <c r="M1265" s="38"/>
      <c r="N1265" s="38"/>
      <c r="O1265" s="38"/>
      <c r="P1265" s="38"/>
      <c r="Q1265" s="38"/>
      <c r="R1265" s="38"/>
      <c r="S1265" s="38"/>
      <c r="BH1265" s="36"/>
    </row>
    <row r="1266" spans="3:60" x14ac:dyDescent="0.25">
      <c r="C1266" s="35"/>
      <c r="L1266" s="39"/>
      <c r="BH1266" s="36"/>
    </row>
    <row r="1267" spans="3:60" x14ac:dyDescent="0.25">
      <c r="C1267" s="35"/>
      <c r="G1267" s="38"/>
      <c r="H1267" s="38"/>
      <c r="I1267" s="38"/>
      <c r="J1267" s="38"/>
      <c r="K1267" s="38"/>
      <c r="L1267" s="39"/>
      <c r="M1267" s="38"/>
      <c r="N1267" s="38"/>
      <c r="O1267" s="38"/>
      <c r="P1267" s="38"/>
      <c r="Q1267" s="38"/>
      <c r="R1267" s="38"/>
      <c r="S1267" s="38"/>
      <c r="BH1267" s="36"/>
    </row>
    <row r="1268" spans="3:60" x14ac:dyDescent="0.25">
      <c r="C1268" s="35"/>
      <c r="L1268" s="39"/>
      <c r="BH1268" s="36"/>
    </row>
    <row r="1269" spans="3:60" x14ac:dyDescent="0.25">
      <c r="C1269" s="35"/>
      <c r="G1269" s="38"/>
      <c r="H1269" s="38"/>
      <c r="I1269" s="38"/>
      <c r="J1269" s="38"/>
      <c r="K1269" s="38"/>
      <c r="L1269" s="39"/>
      <c r="M1269" s="38"/>
      <c r="N1269" s="38"/>
      <c r="O1269" s="38"/>
      <c r="P1269" s="38"/>
      <c r="Q1269" s="38"/>
      <c r="R1269" s="38"/>
      <c r="S1269" s="38"/>
      <c r="BH1269" s="36"/>
    </row>
    <row r="1270" spans="3:60" x14ac:dyDescent="0.25">
      <c r="C1270" s="35"/>
      <c r="L1270" s="39"/>
      <c r="BH1270" s="36"/>
    </row>
    <row r="1271" spans="3:60" x14ac:dyDescent="0.25">
      <c r="C1271" s="35"/>
      <c r="G1271" s="38"/>
      <c r="H1271" s="38"/>
      <c r="I1271" s="38"/>
      <c r="J1271" s="38"/>
      <c r="K1271" s="38"/>
      <c r="L1271" s="39"/>
      <c r="M1271" s="38"/>
      <c r="N1271" s="38"/>
      <c r="O1271" s="38"/>
      <c r="P1271" s="38"/>
      <c r="Q1271" s="38"/>
      <c r="R1271" s="38"/>
      <c r="S1271" s="38"/>
      <c r="BH1271" s="36"/>
    </row>
    <row r="1272" spans="3:60" x14ac:dyDescent="0.25">
      <c r="C1272" s="35"/>
      <c r="L1272" s="39"/>
      <c r="BH1272" s="36"/>
    </row>
    <row r="1273" spans="3:60" x14ac:dyDescent="0.25">
      <c r="C1273" s="35"/>
      <c r="G1273" s="38"/>
      <c r="H1273" s="38"/>
      <c r="I1273" s="38"/>
      <c r="J1273" s="38"/>
      <c r="K1273" s="38"/>
      <c r="L1273" s="39"/>
      <c r="M1273" s="38"/>
      <c r="N1273" s="38"/>
      <c r="O1273" s="38"/>
      <c r="P1273" s="38"/>
      <c r="Q1273" s="38"/>
      <c r="R1273" s="38"/>
      <c r="S1273" s="38"/>
      <c r="BH1273" s="36"/>
    </row>
    <row r="1274" spans="3:60" x14ac:dyDescent="0.25">
      <c r="C1274" s="35"/>
      <c r="L1274" s="39"/>
      <c r="BH1274" s="36"/>
    </row>
    <row r="1275" spans="3:60" x14ac:dyDescent="0.25">
      <c r="C1275" s="35"/>
      <c r="G1275" s="38"/>
      <c r="H1275" s="38"/>
      <c r="I1275" s="38"/>
      <c r="J1275" s="38"/>
      <c r="K1275" s="38"/>
      <c r="L1275" s="39"/>
      <c r="M1275" s="38"/>
      <c r="N1275" s="38"/>
      <c r="O1275" s="38"/>
      <c r="P1275" s="38"/>
      <c r="Q1275" s="38"/>
      <c r="R1275" s="38"/>
      <c r="S1275" s="38"/>
      <c r="BH1275" s="36"/>
    </row>
    <row r="1276" spans="3:60" x14ac:dyDescent="0.25">
      <c r="C1276" s="35"/>
      <c r="L1276" s="39"/>
      <c r="BH1276" s="36"/>
    </row>
    <row r="1277" spans="3:60" x14ac:dyDescent="0.25">
      <c r="C1277" s="35"/>
      <c r="G1277" s="38"/>
      <c r="H1277" s="38"/>
      <c r="I1277" s="38"/>
      <c r="J1277" s="38"/>
      <c r="K1277" s="38"/>
      <c r="L1277" s="39"/>
      <c r="M1277" s="38"/>
      <c r="N1277" s="38"/>
      <c r="O1277" s="38"/>
      <c r="P1277" s="38"/>
      <c r="Q1277" s="38"/>
      <c r="R1277" s="38"/>
      <c r="S1277" s="38"/>
      <c r="BH1277" s="36"/>
    </row>
    <row r="1278" spans="3:60" x14ac:dyDescent="0.25">
      <c r="C1278" s="35"/>
      <c r="L1278" s="39"/>
      <c r="BH1278" s="36"/>
    </row>
    <row r="1279" spans="3:60" x14ac:dyDescent="0.25">
      <c r="C1279" s="35"/>
      <c r="G1279" s="38"/>
      <c r="H1279" s="38"/>
      <c r="I1279" s="38"/>
      <c r="J1279" s="38"/>
      <c r="K1279" s="38"/>
      <c r="L1279" s="39"/>
      <c r="M1279" s="38"/>
      <c r="N1279" s="38"/>
      <c r="O1279" s="38"/>
      <c r="P1279" s="38"/>
      <c r="Q1279" s="38"/>
      <c r="R1279" s="38"/>
      <c r="S1279" s="38"/>
      <c r="BH1279" s="36"/>
    </row>
    <row r="1280" spans="3:60" x14ac:dyDescent="0.25">
      <c r="C1280" s="35"/>
      <c r="L1280" s="39"/>
      <c r="BH1280" s="36"/>
    </row>
    <row r="1281" spans="3:60" x14ac:dyDescent="0.25">
      <c r="C1281" s="35"/>
      <c r="G1281" s="38"/>
      <c r="H1281" s="38"/>
      <c r="I1281" s="38"/>
      <c r="J1281" s="38"/>
      <c r="K1281" s="38"/>
      <c r="L1281" s="39"/>
      <c r="M1281" s="38"/>
      <c r="N1281" s="38"/>
      <c r="O1281" s="38"/>
      <c r="P1281" s="38"/>
      <c r="Q1281" s="38"/>
      <c r="R1281" s="38"/>
      <c r="S1281" s="38"/>
      <c r="BH1281" s="36"/>
    </row>
    <row r="1282" spans="3:60" x14ac:dyDescent="0.25">
      <c r="C1282" s="35"/>
      <c r="L1282" s="39"/>
      <c r="BH1282" s="36"/>
    </row>
    <row r="1283" spans="3:60" x14ac:dyDescent="0.25">
      <c r="C1283" s="35"/>
      <c r="G1283" s="38"/>
      <c r="H1283" s="38"/>
      <c r="I1283" s="38"/>
      <c r="J1283" s="38"/>
      <c r="K1283" s="38"/>
      <c r="L1283" s="39"/>
      <c r="M1283" s="38"/>
      <c r="N1283" s="38"/>
      <c r="O1283" s="38"/>
      <c r="P1283" s="38"/>
      <c r="Q1283" s="38"/>
      <c r="R1283" s="38"/>
      <c r="S1283" s="38"/>
      <c r="BH1283" s="36"/>
    </row>
    <row r="1284" spans="3:60" x14ac:dyDescent="0.25">
      <c r="C1284" s="35"/>
      <c r="L1284" s="39"/>
      <c r="BH1284" s="36"/>
    </row>
    <row r="1285" spans="3:60" x14ac:dyDescent="0.25">
      <c r="C1285" s="35"/>
      <c r="G1285" s="38"/>
      <c r="H1285" s="38"/>
      <c r="I1285" s="38"/>
      <c r="J1285" s="38"/>
      <c r="K1285" s="38"/>
      <c r="L1285" s="39"/>
      <c r="M1285" s="38"/>
      <c r="N1285" s="38"/>
      <c r="O1285" s="38"/>
      <c r="P1285" s="38"/>
      <c r="Q1285" s="38"/>
      <c r="R1285" s="38"/>
      <c r="S1285" s="38"/>
      <c r="BH1285" s="36"/>
    </row>
    <row r="1286" spans="3:60" x14ac:dyDescent="0.25">
      <c r="C1286" s="35"/>
      <c r="L1286" s="39"/>
      <c r="BH1286" s="36"/>
    </row>
    <row r="1287" spans="3:60" x14ac:dyDescent="0.25">
      <c r="C1287" s="35"/>
      <c r="G1287" s="38"/>
      <c r="H1287" s="38"/>
      <c r="I1287" s="38"/>
      <c r="J1287" s="38"/>
      <c r="K1287" s="38"/>
      <c r="L1287" s="39"/>
      <c r="M1287" s="38"/>
      <c r="N1287" s="38"/>
      <c r="O1287" s="38"/>
      <c r="P1287" s="38"/>
      <c r="Q1287" s="38"/>
      <c r="R1287" s="38"/>
      <c r="S1287" s="38"/>
      <c r="BH1287" s="36"/>
    </row>
    <row r="1288" spans="3:60" x14ac:dyDescent="0.25">
      <c r="C1288" s="35"/>
      <c r="L1288" s="39"/>
      <c r="BH1288" s="36"/>
    </row>
    <row r="1289" spans="3:60" x14ac:dyDescent="0.25">
      <c r="C1289" s="35"/>
      <c r="G1289" s="38"/>
      <c r="H1289" s="38"/>
      <c r="I1289" s="38"/>
      <c r="J1289" s="38"/>
      <c r="K1289" s="38"/>
      <c r="L1289" s="39"/>
      <c r="M1289" s="38"/>
      <c r="N1289" s="38"/>
      <c r="O1289" s="38"/>
      <c r="P1289" s="38"/>
      <c r="Q1289" s="38"/>
      <c r="R1289" s="38"/>
      <c r="S1289" s="38"/>
      <c r="BH1289" s="36"/>
    </row>
    <row r="1290" spans="3:60" x14ac:dyDescent="0.25">
      <c r="C1290" s="35"/>
      <c r="L1290" s="39"/>
      <c r="BH1290" s="36"/>
    </row>
    <row r="1291" spans="3:60" x14ac:dyDescent="0.25">
      <c r="C1291" s="35"/>
      <c r="G1291" s="38"/>
      <c r="H1291" s="38"/>
      <c r="I1291" s="38"/>
      <c r="J1291" s="38"/>
      <c r="K1291" s="38"/>
      <c r="L1291" s="39"/>
      <c r="M1291" s="38"/>
      <c r="N1291" s="38"/>
      <c r="O1291" s="38"/>
      <c r="P1291" s="38"/>
      <c r="Q1291" s="38"/>
      <c r="R1291" s="38"/>
      <c r="S1291" s="38"/>
      <c r="BH1291" s="36"/>
    </row>
    <row r="1292" spans="3:60" x14ac:dyDescent="0.25">
      <c r="C1292" s="35"/>
      <c r="L1292" s="39"/>
      <c r="BH1292" s="36"/>
    </row>
    <row r="1293" spans="3:60" x14ac:dyDescent="0.25">
      <c r="C1293" s="35"/>
      <c r="G1293" s="38"/>
      <c r="H1293" s="38"/>
      <c r="I1293" s="38"/>
      <c r="J1293" s="38"/>
      <c r="K1293" s="38"/>
      <c r="L1293" s="39"/>
      <c r="M1293" s="38"/>
      <c r="N1293" s="38"/>
      <c r="O1293" s="38"/>
      <c r="P1293" s="38"/>
      <c r="Q1293" s="38"/>
      <c r="R1293" s="38"/>
      <c r="S1293" s="38"/>
      <c r="BH1293" s="36"/>
    </row>
    <row r="1294" spans="3:60" x14ac:dyDescent="0.25">
      <c r="C1294" s="35"/>
      <c r="L1294" s="39"/>
      <c r="BH1294" s="36"/>
    </row>
    <row r="1295" spans="3:60" x14ac:dyDescent="0.25">
      <c r="C1295" s="35"/>
      <c r="G1295" s="38"/>
      <c r="H1295" s="38"/>
      <c r="I1295" s="38"/>
      <c r="J1295" s="38"/>
      <c r="K1295" s="38"/>
      <c r="L1295" s="39"/>
      <c r="M1295" s="38"/>
      <c r="N1295" s="38"/>
      <c r="O1295" s="38"/>
      <c r="P1295" s="38"/>
      <c r="Q1295" s="38"/>
      <c r="R1295" s="38"/>
      <c r="S1295" s="38"/>
      <c r="BH1295" s="36"/>
    </row>
    <row r="1296" spans="3:60" x14ac:dyDescent="0.25">
      <c r="C1296" s="35"/>
      <c r="L1296" s="39"/>
      <c r="BH1296" s="36"/>
    </row>
    <row r="1297" spans="3:60" x14ac:dyDescent="0.25">
      <c r="C1297" s="35"/>
      <c r="G1297" s="38"/>
      <c r="H1297" s="38"/>
      <c r="I1297" s="38"/>
      <c r="J1297" s="38"/>
      <c r="K1297" s="38"/>
      <c r="L1297" s="39"/>
      <c r="M1297" s="38"/>
      <c r="N1297" s="38"/>
      <c r="O1297" s="38"/>
      <c r="P1297" s="38"/>
      <c r="Q1297" s="38"/>
      <c r="R1297" s="38"/>
      <c r="S1297" s="38"/>
      <c r="BH1297" s="36"/>
    </row>
    <row r="1298" spans="3:60" x14ac:dyDescent="0.25">
      <c r="C1298" s="35"/>
      <c r="L1298" s="39"/>
      <c r="BH1298" s="36"/>
    </row>
    <row r="1299" spans="3:60" x14ac:dyDescent="0.25">
      <c r="C1299" s="35"/>
      <c r="G1299" s="38"/>
      <c r="H1299" s="38"/>
      <c r="I1299" s="38"/>
      <c r="J1299" s="38"/>
      <c r="K1299" s="38"/>
      <c r="L1299" s="39"/>
      <c r="M1299" s="38"/>
      <c r="N1299" s="38"/>
      <c r="O1299" s="38"/>
      <c r="P1299" s="38"/>
      <c r="Q1299" s="38"/>
      <c r="R1299" s="38"/>
      <c r="S1299" s="38"/>
      <c r="BH1299" s="36"/>
    </row>
    <row r="1300" spans="3:60" x14ac:dyDescent="0.25">
      <c r="C1300" s="35"/>
      <c r="L1300" s="39"/>
      <c r="BH1300" s="36"/>
    </row>
    <row r="1301" spans="3:60" x14ac:dyDescent="0.25">
      <c r="C1301" s="35"/>
      <c r="G1301" s="38"/>
      <c r="H1301" s="38"/>
      <c r="I1301" s="38"/>
      <c r="J1301" s="38"/>
      <c r="K1301" s="38"/>
      <c r="L1301" s="39"/>
      <c r="M1301" s="38"/>
      <c r="N1301" s="38"/>
      <c r="O1301" s="38"/>
      <c r="P1301" s="38"/>
      <c r="Q1301" s="38"/>
      <c r="R1301" s="38"/>
      <c r="S1301" s="38"/>
      <c r="BH1301" s="36"/>
    </row>
    <row r="1302" spans="3:60" x14ac:dyDescent="0.25">
      <c r="C1302" s="35"/>
      <c r="L1302" s="39"/>
      <c r="BH1302" s="36"/>
    </row>
    <row r="1303" spans="3:60" x14ac:dyDescent="0.25">
      <c r="C1303" s="35"/>
      <c r="G1303" s="38"/>
      <c r="H1303" s="38"/>
      <c r="I1303" s="38"/>
      <c r="J1303" s="38"/>
      <c r="K1303" s="38"/>
      <c r="L1303" s="39"/>
      <c r="M1303" s="38"/>
      <c r="N1303" s="38"/>
      <c r="O1303" s="38"/>
      <c r="P1303" s="38"/>
      <c r="Q1303" s="38"/>
      <c r="R1303" s="38"/>
      <c r="S1303" s="38"/>
      <c r="BH1303" s="36"/>
    </row>
    <row r="1304" spans="3:60" x14ac:dyDescent="0.25">
      <c r="C1304" s="35"/>
      <c r="L1304" s="39"/>
      <c r="BH1304" s="36"/>
    </row>
    <row r="1305" spans="3:60" x14ac:dyDescent="0.25">
      <c r="C1305" s="35"/>
      <c r="G1305" s="38"/>
      <c r="H1305" s="38"/>
      <c r="I1305" s="38"/>
      <c r="J1305" s="38"/>
      <c r="K1305" s="38"/>
      <c r="L1305" s="39"/>
      <c r="M1305" s="38"/>
      <c r="N1305" s="38"/>
      <c r="O1305" s="38"/>
      <c r="P1305" s="38"/>
      <c r="Q1305" s="38"/>
      <c r="R1305" s="38"/>
      <c r="S1305" s="38"/>
      <c r="BH1305" s="36"/>
    </row>
    <row r="1306" spans="3:60" x14ac:dyDescent="0.25">
      <c r="C1306" s="35"/>
      <c r="L1306" s="39"/>
      <c r="BH1306" s="36"/>
    </row>
    <row r="1307" spans="3:60" x14ac:dyDescent="0.25">
      <c r="C1307" s="35"/>
      <c r="G1307" s="38"/>
      <c r="H1307" s="38"/>
      <c r="I1307" s="38"/>
      <c r="J1307" s="38"/>
      <c r="K1307" s="38"/>
      <c r="L1307" s="39"/>
      <c r="M1307" s="38"/>
      <c r="N1307" s="38"/>
      <c r="O1307" s="38"/>
      <c r="P1307" s="38"/>
      <c r="Q1307" s="38"/>
      <c r="R1307" s="38"/>
      <c r="S1307" s="38"/>
      <c r="BH1307" s="36"/>
    </row>
    <row r="1308" spans="3:60" x14ac:dyDescent="0.25">
      <c r="C1308" s="35"/>
      <c r="L1308" s="39"/>
      <c r="BH1308" s="36"/>
    </row>
    <row r="1309" spans="3:60" x14ac:dyDescent="0.25">
      <c r="C1309" s="35"/>
      <c r="G1309" s="38"/>
      <c r="H1309" s="38"/>
      <c r="I1309" s="38"/>
      <c r="J1309" s="38"/>
      <c r="K1309" s="38"/>
      <c r="L1309" s="39"/>
      <c r="M1309" s="38"/>
      <c r="N1309" s="38"/>
      <c r="O1309" s="38"/>
      <c r="P1309" s="38"/>
      <c r="Q1309" s="38"/>
      <c r="R1309" s="38"/>
      <c r="S1309" s="38"/>
      <c r="BH1309" s="36"/>
    </row>
    <row r="1310" spans="3:60" x14ac:dyDescent="0.25">
      <c r="C1310" s="35"/>
      <c r="L1310" s="39"/>
      <c r="BH1310" s="36"/>
    </row>
    <row r="1311" spans="3:60" x14ac:dyDescent="0.25">
      <c r="C1311" s="35"/>
      <c r="G1311" s="38"/>
      <c r="H1311" s="38"/>
      <c r="I1311" s="38"/>
      <c r="J1311" s="38"/>
      <c r="K1311" s="38"/>
      <c r="L1311" s="39"/>
      <c r="M1311" s="38"/>
      <c r="N1311" s="38"/>
      <c r="O1311" s="38"/>
      <c r="P1311" s="38"/>
      <c r="Q1311" s="38"/>
      <c r="R1311" s="38"/>
      <c r="S1311" s="38"/>
      <c r="BH1311" s="36"/>
    </row>
    <row r="1312" spans="3:60" x14ac:dyDescent="0.25">
      <c r="C1312" s="35"/>
      <c r="L1312" s="39"/>
      <c r="BH1312" s="36"/>
    </row>
    <row r="1313" spans="3:60" x14ac:dyDescent="0.25">
      <c r="C1313" s="35"/>
      <c r="G1313" s="38"/>
      <c r="H1313" s="38"/>
      <c r="I1313" s="38"/>
      <c r="J1313" s="38"/>
      <c r="K1313" s="38"/>
      <c r="L1313" s="39"/>
      <c r="M1313" s="38"/>
      <c r="N1313" s="38"/>
      <c r="O1313" s="38"/>
      <c r="P1313" s="38"/>
      <c r="Q1313" s="38"/>
      <c r="R1313" s="38"/>
      <c r="S1313" s="38"/>
      <c r="BH1313" s="36"/>
    </row>
    <row r="1314" spans="3:60" x14ac:dyDescent="0.25">
      <c r="C1314" s="35"/>
      <c r="L1314" s="39"/>
      <c r="BH1314" s="36"/>
    </row>
    <row r="1315" spans="3:60" x14ac:dyDescent="0.25">
      <c r="C1315" s="35"/>
      <c r="G1315" s="38"/>
      <c r="H1315" s="38"/>
      <c r="I1315" s="38"/>
      <c r="J1315" s="38"/>
      <c r="K1315" s="38"/>
      <c r="L1315" s="39"/>
      <c r="M1315" s="38"/>
      <c r="N1315" s="38"/>
      <c r="O1315" s="38"/>
      <c r="P1315" s="38"/>
      <c r="Q1315" s="38"/>
      <c r="R1315" s="38"/>
      <c r="S1315" s="38"/>
      <c r="BH1315" s="36"/>
    </row>
    <row r="1316" spans="3:60" x14ac:dyDescent="0.25">
      <c r="C1316" s="35"/>
      <c r="L1316" s="39"/>
      <c r="BH1316" s="36"/>
    </row>
    <row r="1317" spans="3:60" x14ac:dyDescent="0.25">
      <c r="C1317" s="35"/>
      <c r="G1317" s="38"/>
      <c r="H1317" s="38"/>
      <c r="I1317" s="38"/>
      <c r="J1317" s="38"/>
      <c r="K1317" s="38"/>
      <c r="L1317" s="39"/>
      <c r="M1317" s="38"/>
      <c r="N1317" s="38"/>
      <c r="O1317" s="38"/>
      <c r="P1317" s="38"/>
      <c r="Q1317" s="38"/>
      <c r="R1317" s="38"/>
      <c r="S1317" s="38"/>
      <c r="BH1317" s="36"/>
    </row>
    <row r="1318" spans="3:60" x14ac:dyDescent="0.25">
      <c r="C1318" s="35"/>
      <c r="L1318" s="39"/>
      <c r="BH1318" s="36"/>
    </row>
    <row r="1319" spans="3:60" x14ac:dyDescent="0.25">
      <c r="C1319" s="35"/>
      <c r="G1319" s="38"/>
      <c r="H1319" s="38"/>
      <c r="I1319" s="38"/>
      <c r="J1319" s="38"/>
      <c r="K1319" s="38"/>
      <c r="L1319" s="39"/>
      <c r="M1319" s="38"/>
      <c r="N1319" s="38"/>
      <c r="O1319" s="38"/>
      <c r="P1319" s="38"/>
      <c r="Q1319" s="38"/>
      <c r="R1319" s="38"/>
      <c r="S1319" s="38"/>
      <c r="BH1319" s="36"/>
    </row>
    <row r="1320" spans="3:60" x14ac:dyDescent="0.25">
      <c r="C1320" s="35"/>
      <c r="L1320" s="39"/>
      <c r="BH1320" s="36"/>
    </row>
    <row r="1321" spans="3:60" x14ac:dyDescent="0.25">
      <c r="C1321" s="35"/>
      <c r="G1321" s="38"/>
      <c r="H1321" s="38"/>
      <c r="I1321" s="38"/>
      <c r="J1321" s="38"/>
      <c r="K1321" s="38"/>
      <c r="L1321" s="39"/>
      <c r="M1321" s="38"/>
      <c r="N1321" s="38"/>
      <c r="O1321" s="38"/>
      <c r="P1321" s="38"/>
      <c r="Q1321" s="38"/>
      <c r="R1321" s="38"/>
      <c r="S1321" s="38"/>
      <c r="BH1321" s="36"/>
    </row>
    <row r="1322" spans="3:60" x14ac:dyDescent="0.25">
      <c r="C1322" s="35"/>
      <c r="L1322" s="39"/>
      <c r="BH1322" s="36"/>
    </row>
    <row r="1323" spans="3:60" x14ac:dyDescent="0.25">
      <c r="C1323" s="35"/>
      <c r="G1323" s="38"/>
      <c r="H1323" s="38"/>
      <c r="I1323" s="38"/>
      <c r="J1323" s="38"/>
      <c r="K1323" s="38"/>
      <c r="L1323" s="39"/>
      <c r="M1323" s="38"/>
      <c r="N1323" s="38"/>
      <c r="O1323" s="38"/>
      <c r="P1323" s="38"/>
      <c r="Q1323" s="38"/>
      <c r="R1323" s="38"/>
      <c r="S1323" s="38"/>
      <c r="BH1323" s="36"/>
    </row>
    <row r="1324" spans="3:60" x14ac:dyDescent="0.25">
      <c r="C1324" s="35"/>
      <c r="L1324" s="39"/>
      <c r="BH1324" s="36"/>
    </row>
    <row r="1325" spans="3:60" x14ac:dyDescent="0.25">
      <c r="C1325" s="35"/>
      <c r="G1325" s="38"/>
      <c r="H1325" s="38"/>
      <c r="I1325" s="38"/>
      <c r="J1325" s="38"/>
      <c r="K1325" s="38"/>
      <c r="L1325" s="39"/>
      <c r="M1325" s="38"/>
      <c r="N1325" s="38"/>
      <c r="O1325" s="38"/>
      <c r="P1325" s="38"/>
      <c r="Q1325" s="38"/>
      <c r="R1325" s="38"/>
      <c r="S1325" s="38"/>
      <c r="BH1325" s="36"/>
    </row>
    <row r="1326" spans="3:60" x14ac:dyDescent="0.25">
      <c r="C1326" s="35"/>
      <c r="L1326" s="39"/>
      <c r="BH1326" s="36"/>
    </row>
    <row r="1327" spans="3:60" x14ac:dyDescent="0.25">
      <c r="C1327" s="35"/>
      <c r="G1327" s="38"/>
      <c r="H1327" s="38"/>
      <c r="I1327" s="38"/>
      <c r="J1327" s="38"/>
      <c r="K1327" s="38"/>
      <c r="L1327" s="39"/>
      <c r="M1327" s="38"/>
      <c r="N1327" s="38"/>
      <c r="O1327" s="38"/>
      <c r="P1327" s="38"/>
      <c r="Q1327" s="38"/>
      <c r="R1327" s="38"/>
      <c r="S1327" s="38"/>
      <c r="BH1327" s="36"/>
    </row>
    <row r="1328" spans="3:60" x14ac:dyDescent="0.25">
      <c r="C1328" s="35"/>
      <c r="L1328" s="39"/>
      <c r="BH1328" s="36"/>
    </row>
    <row r="1329" spans="3:60" x14ac:dyDescent="0.25">
      <c r="C1329" s="35"/>
      <c r="G1329" s="38"/>
      <c r="H1329" s="38"/>
      <c r="I1329" s="38"/>
      <c r="J1329" s="38"/>
      <c r="K1329" s="38"/>
      <c r="L1329" s="39"/>
      <c r="M1329" s="38"/>
      <c r="N1329" s="38"/>
      <c r="O1329" s="38"/>
      <c r="P1329" s="38"/>
      <c r="Q1329" s="38"/>
      <c r="R1329" s="38"/>
      <c r="S1329" s="38"/>
      <c r="BH1329" s="36"/>
    </row>
    <row r="1330" spans="3:60" x14ac:dyDescent="0.25">
      <c r="C1330" s="35"/>
      <c r="L1330" s="39"/>
      <c r="BH1330" s="36"/>
    </row>
    <row r="1331" spans="3:60" x14ac:dyDescent="0.25">
      <c r="C1331" s="35"/>
      <c r="G1331" s="38"/>
      <c r="H1331" s="38"/>
      <c r="I1331" s="38"/>
      <c r="J1331" s="38"/>
      <c r="K1331" s="38"/>
      <c r="L1331" s="39"/>
      <c r="M1331" s="38"/>
      <c r="N1331" s="38"/>
      <c r="O1331" s="38"/>
      <c r="P1331" s="38"/>
      <c r="Q1331" s="38"/>
      <c r="R1331" s="38"/>
      <c r="S1331" s="38"/>
      <c r="BH1331" s="36"/>
    </row>
    <row r="1332" spans="3:60" x14ac:dyDescent="0.25">
      <c r="C1332" s="35"/>
      <c r="L1332" s="39"/>
      <c r="BH1332" s="36"/>
    </row>
    <row r="1333" spans="3:60" x14ac:dyDescent="0.25">
      <c r="C1333" s="35"/>
      <c r="G1333" s="38"/>
      <c r="H1333" s="38"/>
      <c r="I1333" s="38"/>
      <c r="J1333" s="38"/>
      <c r="K1333" s="38"/>
      <c r="L1333" s="39"/>
      <c r="M1333" s="38"/>
      <c r="N1333" s="38"/>
      <c r="O1333" s="38"/>
      <c r="P1333" s="38"/>
      <c r="Q1333" s="38"/>
      <c r="R1333" s="38"/>
      <c r="S1333" s="38"/>
      <c r="BH1333" s="36"/>
    </row>
    <row r="1334" spans="3:60" x14ac:dyDescent="0.25">
      <c r="C1334" s="35"/>
      <c r="L1334" s="39"/>
      <c r="BH1334" s="36"/>
    </row>
    <row r="1335" spans="3:60" x14ac:dyDescent="0.25">
      <c r="C1335" s="35"/>
      <c r="G1335" s="38"/>
      <c r="H1335" s="38"/>
      <c r="I1335" s="38"/>
      <c r="J1335" s="38"/>
      <c r="K1335" s="38"/>
      <c r="L1335" s="39"/>
      <c r="M1335" s="38"/>
      <c r="N1335" s="38"/>
      <c r="O1335" s="38"/>
      <c r="P1335" s="38"/>
      <c r="Q1335" s="38"/>
      <c r="R1335" s="38"/>
      <c r="S1335" s="38"/>
      <c r="BH1335" s="36"/>
    </row>
    <row r="1336" spans="3:60" x14ac:dyDescent="0.25">
      <c r="C1336" s="35"/>
      <c r="L1336" s="39"/>
      <c r="BH1336" s="36"/>
    </row>
    <row r="1337" spans="3:60" x14ac:dyDescent="0.25">
      <c r="C1337" s="35"/>
      <c r="G1337" s="38"/>
      <c r="H1337" s="38"/>
      <c r="I1337" s="38"/>
      <c r="J1337" s="38"/>
      <c r="K1337" s="38"/>
      <c r="L1337" s="39"/>
      <c r="M1337" s="38"/>
      <c r="N1337" s="38"/>
      <c r="O1337" s="38"/>
      <c r="P1337" s="38"/>
      <c r="Q1337" s="38"/>
      <c r="R1337" s="38"/>
      <c r="S1337" s="38"/>
      <c r="BH1337" s="36"/>
    </row>
    <row r="1338" spans="3:60" x14ac:dyDescent="0.25">
      <c r="C1338" s="35"/>
      <c r="L1338" s="39"/>
      <c r="BH1338" s="36"/>
    </row>
    <row r="1339" spans="3:60" x14ac:dyDescent="0.25">
      <c r="C1339" s="35"/>
      <c r="G1339" s="38"/>
      <c r="H1339" s="38"/>
      <c r="I1339" s="38"/>
      <c r="J1339" s="38"/>
      <c r="K1339" s="38"/>
      <c r="L1339" s="39"/>
      <c r="M1339" s="38"/>
      <c r="N1339" s="38"/>
      <c r="O1339" s="38"/>
      <c r="P1339" s="38"/>
      <c r="Q1339" s="38"/>
      <c r="R1339" s="38"/>
      <c r="S1339" s="38"/>
      <c r="BH1339" s="36"/>
    </row>
    <row r="1340" spans="3:60" x14ac:dyDescent="0.25">
      <c r="C1340" s="35"/>
      <c r="L1340" s="39"/>
      <c r="BH1340" s="36"/>
    </row>
    <row r="1341" spans="3:60" x14ac:dyDescent="0.25">
      <c r="C1341" s="35"/>
      <c r="G1341" s="38"/>
      <c r="H1341" s="38"/>
      <c r="I1341" s="38"/>
      <c r="J1341" s="38"/>
      <c r="K1341" s="38"/>
      <c r="L1341" s="39"/>
      <c r="M1341" s="38"/>
      <c r="N1341" s="38"/>
      <c r="O1341" s="38"/>
      <c r="P1341" s="38"/>
      <c r="Q1341" s="38"/>
      <c r="R1341" s="38"/>
      <c r="S1341" s="38"/>
      <c r="BH1341" s="36"/>
    </row>
    <row r="1342" spans="3:60" x14ac:dyDescent="0.25">
      <c r="C1342" s="35"/>
      <c r="L1342" s="39"/>
      <c r="BH1342" s="36"/>
    </row>
    <row r="1343" spans="3:60" x14ac:dyDescent="0.25">
      <c r="C1343" s="35"/>
      <c r="G1343" s="38"/>
      <c r="H1343" s="38"/>
      <c r="I1343" s="38"/>
      <c r="J1343" s="38"/>
      <c r="K1343" s="38"/>
      <c r="L1343" s="39"/>
      <c r="M1343" s="38"/>
      <c r="N1343" s="38"/>
      <c r="O1343" s="38"/>
      <c r="P1343" s="38"/>
      <c r="Q1343" s="38"/>
      <c r="R1343" s="38"/>
      <c r="S1343" s="38"/>
      <c r="BH1343" s="36"/>
    </row>
    <row r="1344" spans="3:60" x14ac:dyDescent="0.25">
      <c r="C1344" s="35"/>
      <c r="L1344" s="39"/>
      <c r="BH1344" s="36"/>
    </row>
    <row r="1345" spans="3:60" x14ac:dyDescent="0.25">
      <c r="C1345" s="35"/>
      <c r="G1345" s="38"/>
      <c r="H1345" s="38"/>
      <c r="I1345" s="38"/>
      <c r="J1345" s="38"/>
      <c r="K1345" s="38"/>
      <c r="L1345" s="39"/>
      <c r="M1345" s="38"/>
      <c r="N1345" s="38"/>
      <c r="O1345" s="38"/>
      <c r="P1345" s="38"/>
      <c r="Q1345" s="38"/>
      <c r="R1345" s="38"/>
      <c r="S1345" s="38"/>
      <c r="BH1345" s="36"/>
    </row>
    <row r="1346" spans="3:60" x14ac:dyDescent="0.25">
      <c r="C1346" s="35"/>
      <c r="L1346" s="39"/>
      <c r="BH1346" s="36"/>
    </row>
    <row r="1347" spans="3:60" x14ac:dyDescent="0.25">
      <c r="C1347" s="35"/>
      <c r="G1347" s="38"/>
      <c r="H1347" s="38"/>
      <c r="I1347" s="38"/>
      <c r="J1347" s="38"/>
      <c r="K1347" s="38"/>
      <c r="L1347" s="39"/>
      <c r="M1347" s="38"/>
      <c r="N1347" s="38"/>
      <c r="O1347" s="38"/>
      <c r="P1347" s="38"/>
      <c r="Q1347" s="38"/>
      <c r="R1347" s="38"/>
      <c r="S1347" s="38"/>
      <c r="BH1347" s="36"/>
    </row>
    <row r="1348" spans="3:60" x14ac:dyDescent="0.25">
      <c r="C1348" s="35"/>
      <c r="L1348" s="39"/>
      <c r="BH1348" s="36"/>
    </row>
    <row r="1349" spans="3:60" x14ac:dyDescent="0.25">
      <c r="C1349" s="35"/>
      <c r="G1349" s="38"/>
      <c r="H1349" s="38"/>
      <c r="I1349" s="38"/>
      <c r="J1349" s="38"/>
      <c r="K1349" s="38"/>
      <c r="L1349" s="39"/>
      <c r="M1349" s="38"/>
      <c r="N1349" s="38"/>
      <c r="O1349" s="38"/>
      <c r="P1349" s="38"/>
      <c r="Q1349" s="38"/>
      <c r="R1349" s="38"/>
      <c r="S1349" s="38"/>
      <c r="BH1349" s="36"/>
    </row>
    <row r="1350" spans="3:60" x14ac:dyDescent="0.25">
      <c r="C1350" s="35"/>
      <c r="L1350" s="39"/>
      <c r="BH1350" s="36"/>
    </row>
    <row r="1351" spans="3:60" x14ac:dyDescent="0.25">
      <c r="C1351" s="35"/>
      <c r="G1351" s="38"/>
      <c r="H1351" s="38"/>
      <c r="I1351" s="38"/>
      <c r="J1351" s="38"/>
      <c r="K1351" s="38"/>
      <c r="L1351" s="39"/>
      <c r="M1351" s="38"/>
      <c r="N1351" s="38"/>
      <c r="O1351" s="38"/>
      <c r="P1351" s="38"/>
      <c r="Q1351" s="38"/>
      <c r="R1351" s="38"/>
      <c r="S1351" s="38"/>
      <c r="BH1351" s="36"/>
    </row>
    <row r="1352" spans="3:60" x14ac:dyDescent="0.25">
      <c r="C1352" s="35"/>
      <c r="L1352" s="39"/>
      <c r="BH1352" s="36"/>
    </row>
    <row r="1353" spans="3:60" x14ac:dyDescent="0.25">
      <c r="C1353" s="35"/>
      <c r="G1353" s="38"/>
      <c r="H1353" s="38"/>
      <c r="I1353" s="38"/>
      <c r="J1353" s="38"/>
      <c r="K1353" s="38"/>
      <c r="L1353" s="39"/>
      <c r="M1353" s="38"/>
      <c r="N1353" s="38"/>
      <c r="O1353" s="38"/>
      <c r="P1353" s="38"/>
      <c r="Q1353" s="38"/>
      <c r="R1353" s="38"/>
      <c r="S1353" s="38"/>
      <c r="BH1353" s="36"/>
    </row>
    <row r="1354" spans="3:60" x14ac:dyDescent="0.25">
      <c r="C1354" s="35"/>
      <c r="L1354" s="39"/>
      <c r="BH1354" s="36"/>
    </row>
    <row r="1355" spans="3:60" x14ac:dyDescent="0.25">
      <c r="C1355" s="35"/>
      <c r="G1355" s="38"/>
      <c r="H1355" s="38"/>
      <c r="I1355" s="38"/>
      <c r="J1355" s="38"/>
      <c r="K1355" s="38"/>
      <c r="L1355" s="39"/>
      <c r="M1355" s="38"/>
      <c r="N1355" s="38"/>
      <c r="O1355" s="38"/>
      <c r="P1355" s="38"/>
      <c r="Q1355" s="38"/>
      <c r="R1355" s="38"/>
      <c r="S1355" s="38"/>
      <c r="BH1355" s="36"/>
    </row>
    <row r="1356" spans="3:60" x14ac:dyDescent="0.25">
      <c r="C1356" s="35"/>
      <c r="L1356" s="39"/>
      <c r="BH1356" s="36"/>
    </row>
    <row r="1357" spans="3:60" x14ac:dyDescent="0.25">
      <c r="C1357" s="35"/>
      <c r="G1357" s="38"/>
      <c r="H1357" s="38"/>
      <c r="I1357" s="38"/>
      <c r="J1357" s="38"/>
      <c r="K1357" s="38"/>
      <c r="L1357" s="39"/>
      <c r="M1357" s="38"/>
      <c r="N1357" s="38"/>
      <c r="O1357" s="38"/>
      <c r="P1357" s="38"/>
      <c r="Q1357" s="38"/>
      <c r="R1357" s="38"/>
      <c r="S1357" s="38"/>
      <c r="BH1357" s="36"/>
    </row>
    <row r="1358" spans="3:60" x14ac:dyDescent="0.25">
      <c r="C1358" s="35"/>
      <c r="L1358" s="39"/>
      <c r="BH1358" s="36"/>
    </row>
    <row r="1359" spans="3:60" x14ac:dyDescent="0.25">
      <c r="C1359" s="35"/>
      <c r="G1359" s="38"/>
      <c r="H1359" s="38"/>
      <c r="I1359" s="38"/>
      <c r="J1359" s="38"/>
      <c r="K1359" s="38"/>
      <c r="L1359" s="39"/>
      <c r="M1359" s="38"/>
      <c r="N1359" s="38"/>
      <c r="O1359" s="38"/>
      <c r="P1359" s="38"/>
      <c r="Q1359" s="38"/>
      <c r="R1359" s="38"/>
      <c r="S1359" s="38"/>
      <c r="BH1359" s="36"/>
    </row>
    <row r="1360" spans="3:60" x14ac:dyDescent="0.25">
      <c r="C1360" s="35"/>
      <c r="L1360" s="39"/>
      <c r="BH1360" s="36"/>
    </row>
    <row r="1361" spans="3:60" x14ac:dyDescent="0.25">
      <c r="C1361" s="35"/>
      <c r="G1361" s="38"/>
      <c r="H1361" s="38"/>
      <c r="I1361" s="38"/>
      <c r="J1361" s="38"/>
      <c r="K1361" s="38"/>
      <c r="L1361" s="39"/>
      <c r="M1361" s="38"/>
      <c r="N1361" s="38"/>
      <c r="O1361" s="38"/>
      <c r="P1361" s="38"/>
      <c r="Q1361" s="38"/>
      <c r="R1361" s="38"/>
      <c r="S1361" s="38"/>
      <c r="BH1361" s="36"/>
    </row>
    <row r="1362" spans="3:60" x14ac:dyDescent="0.25">
      <c r="C1362" s="35"/>
      <c r="L1362" s="39"/>
      <c r="BH1362" s="36"/>
    </row>
    <row r="1363" spans="3:60" x14ac:dyDescent="0.25">
      <c r="C1363" s="35"/>
      <c r="G1363" s="38"/>
      <c r="H1363" s="38"/>
      <c r="I1363" s="38"/>
      <c r="J1363" s="38"/>
      <c r="K1363" s="38"/>
      <c r="L1363" s="39"/>
      <c r="M1363" s="38"/>
      <c r="N1363" s="38"/>
      <c r="O1363" s="38"/>
      <c r="P1363" s="38"/>
      <c r="Q1363" s="38"/>
      <c r="R1363" s="38"/>
      <c r="S1363" s="38"/>
      <c r="BH1363" s="36"/>
    </row>
    <row r="1364" spans="3:60" x14ac:dyDescent="0.25">
      <c r="C1364" s="35"/>
      <c r="L1364" s="39"/>
      <c r="BH1364" s="36"/>
    </row>
    <row r="1365" spans="3:60" x14ac:dyDescent="0.25">
      <c r="C1365" s="35"/>
      <c r="G1365" s="38"/>
      <c r="H1365" s="38"/>
      <c r="I1365" s="38"/>
      <c r="J1365" s="38"/>
      <c r="K1365" s="38"/>
      <c r="L1365" s="39"/>
      <c r="M1365" s="38"/>
      <c r="N1365" s="38"/>
      <c r="O1365" s="38"/>
      <c r="P1365" s="38"/>
      <c r="Q1365" s="38"/>
      <c r="R1365" s="38"/>
      <c r="S1365" s="38"/>
      <c r="BH1365" s="36"/>
    </row>
    <row r="1366" spans="3:60" x14ac:dyDescent="0.25">
      <c r="C1366" s="35"/>
      <c r="L1366" s="39"/>
      <c r="BH1366" s="36"/>
    </row>
    <row r="1367" spans="3:60" x14ac:dyDescent="0.25">
      <c r="C1367" s="35"/>
      <c r="G1367" s="38"/>
      <c r="H1367" s="38"/>
      <c r="I1367" s="38"/>
      <c r="J1367" s="38"/>
      <c r="K1367" s="38"/>
      <c r="L1367" s="39"/>
      <c r="M1367" s="38"/>
      <c r="N1367" s="38"/>
      <c r="O1367" s="38"/>
      <c r="P1367" s="38"/>
      <c r="Q1367" s="38"/>
      <c r="R1367" s="38"/>
      <c r="S1367" s="38"/>
      <c r="BH1367" s="36"/>
    </row>
    <row r="1368" spans="3:60" x14ac:dyDescent="0.25">
      <c r="C1368" s="35"/>
      <c r="L1368" s="39"/>
      <c r="BH1368" s="36"/>
    </row>
    <row r="1369" spans="3:60" x14ac:dyDescent="0.25">
      <c r="C1369" s="35"/>
      <c r="G1369" s="38"/>
      <c r="H1369" s="38"/>
      <c r="I1369" s="38"/>
      <c r="J1369" s="38"/>
      <c r="K1369" s="38"/>
      <c r="L1369" s="39"/>
      <c r="M1369" s="38"/>
      <c r="N1369" s="38"/>
      <c r="O1369" s="38"/>
      <c r="P1369" s="38"/>
      <c r="Q1369" s="38"/>
      <c r="R1369" s="38"/>
      <c r="S1369" s="38"/>
      <c r="BH1369" s="36"/>
    </row>
    <row r="1370" spans="3:60" x14ac:dyDescent="0.25">
      <c r="C1370" s="35"/>
      <c r="L1370" s="39"/>
      <c r="BH1370" s="36"/>
    </row>
    <row r="1371" spans="3:60" x14ac:dyDescent="0.25">
      <c r="C1371" s="35"/>
      <c r="G1371" s="38"/>
      <c r="H1371" s="38"/>
      <c r="I1371" s="38"/>
      <c r="J1371" s="38"/>
      <c r="K1371" s="38"/>
      <c r="L1371" s="39"/>
      <c r="M1371" s="38"/>
      <c r="N1371" s="38"/>
      <c r="O1371" s="38"/>
      <c r="P1371" s="38"/>
      <c r="Q1371" s="38"/>
      <c r="R1371" s="38"/>
      <c r="S1371" s="38"/>
      <c r="BH1371" s="36"/>
    </row>
    <row r="1372" spans="3:60" x14ac:dyDescent="0.25">
      <c r="C1372" s="35"/>
      <c r="L1372" s="39"/>
      <c r="BH1372" s="36"/>
    </row>
    <row r="1373" spans="3:60" x14ac:dyDescent="0.25">
      <c r="C1373" s="35"/>
      <c r="G1373" s="38"/>
      <c r="H1373" s="38"/>
      <c r="I1373" s="38"/>
      <c r="J1373" s="38"/>
      <c r="K1373" s="38"/>
      <c r="L1373" s="39"/>
      <c r="M1373" s="38"/>
      <c r="N1373" s="38"/>
      <c r="O1373" s="38"/>
      <c r="P1373" s="38"/>
      <c r="Q1373" s="38"/>
      <c r="R1373" s="38"/>
      <c r="S1373" s="38"/>
      <c r="BH1373" s="36"/>
    </row>
    <row r="1374" spans="3:60" x14ac:dyDescent="0.25">
      <c r="C1374" s="35"/>
      <c r="L1374" s="39"/>
      <c r="BH1374" s="36"/>
    </row>
    <row r="1375" spans="3:60" x14ac:dyDescent="0.25">
      <c r="C1375" s="35"/>
      <c r="G1375" s="38"/>
      <c r="H1375" s="38"/>
      <c r="I1375" s="38"/>
      <c r="J1375" s="38"/>
      <c r="K1375" s="38"/>
      <c r="L1375" s="39"/>
      <c r="M1375" s="38"/>
      <c r="N1375" s="38"/>
      <c r="O1375" s="38"/>
      <c r="P1375" s="38"/>
      <c r="Q1375" s="38"/>
      <c r="R1375" s="38"/>
      <c r="S1375" s="38"/>
      <c r="BH1375" s="36"/>
    </row>
    <row r="1376" spans="3:60" x14ac:dyDescent="0.25">
      <c r="C1376" s="35"/>
      <c r="L1376" s="39"/>
      <c r="BH1376" s="36"/>
    </row>
    <row r="1377" spans="3:60" x14ac:dyDescent="0.25">
      <c r="C1377" s="35"/>
      <c r="G1377" s="38"/>
      <c r="H1377" s="38"/>
      <c r="I1377" s="38"/>
      <c r="J1377" s="38"/>
      <c r="K1377" s="38"/>
      <c r="L1377" s="39"/>
      <c r="M1377" s="38"/>
      <c r="N1377" s="38"/>
      <c r="O1377" s="38"/>
      <c r="P1377" s="38"/>
      <c r="Q1377" s="38"/>
      <c r="R1377" s="38"/>
      <c r="S1377" s="38"/>
      <c r="BH1377" s="36"/>
    </row>
    <row r="1378" spans="3:60" x14ac:dyDescent="0.25">
      <c r="C1378" s="35"/>
      <c r="L1378" s="39"/>
      <c r="BH1378" s="36"/>
    </row>
    <row r="1379" spans="3:60" x14ac:dyDescent="0.25">
      <c r="C1379" s="35"/>
      <c r="G1379" s="38"/>
      <c r="H1379" s="38"/>
      <c r="I1379" s="38"/>
      <c r="J1379" s="38"/>
      <c r="K1379" s="38"/>
      <c r="L1379" s="39"/>
      <c r="M1379" s="38"/>
      <c r="N1379" s="38"/>
      <c r="O1379" s="38"/>
      <c r="P1379" s="38"/>
      <c r="Q1379" s="38"/>
      <c r="R1379" s="38"/>
      <c r="S1379" s="38"/>
      <c r="BH1379" s="36"/>
    </row>
    <row r="1380" spans="3:60" x14ac:dyDescent="0.25">
      <c r="C1380" s="35"/>
      <c r="L1380" s="39"/>
      <c r="BH1380" s="36"/>
    </row>
    <row r="1381" spans="3:60" x14ac:dyDescent="0.25">
      <c r="C1381" s="35"/>
      <c r="G1381" s="38"/>
      <c r="H1381" s="38"/>
      <c r="I1381" s="38"/>
      <c r="J1381" s="38"/>
      <c r="K1381" s="38"/>
      <c r="L1381" s="39"/>
      <c r="M1381" s="38"/>
      <c r="N1381" s="38"/>
      <c r="O1381" s="38"/>
      <c r="P1381" s="38"/>
      <c r="Q1381" s="38"/>
      <c r="R1381" s="38"/>
      <c r="S1381" s="38"/>
      <c r="BH1381" s="36"/>
    </row>
    <row r="1382" spans="3:60" x14ac:dyDescent="0.25">
      <c r="C1382" s="35"/>
      <c r="L1382" s="39"/>
      <c r="BH1382" s="36"/>
    </row>
    <row r="1383" spans="3:60" x14ac:dyDescent="0.25">
      <c r="C1383" s="35"/>
      <c r="G1383" s="38"/>
      <c r="H1383" s="38"/>
      <c r="I1383" s="38"/>
      <c r="J1383" s="38"/>
      <c r="K1383" s="38"/>
      <c r="L1383" s="39"/>
      <c r="M1383" s="38"/>
      <c r="N1383" s="38"/>
      <c r="O1383" s="38"/>
      <c r="P1383" s="38"/>
      <c r="Q1383" s="38"/>
      <c r="R1383" s="38"/>
      <c r="S1383" s="38"/>
      <c r="BH1383" s="36"/>
    </row>
    <row r="1384" spans="3:60" x14ac:dyDescent="0.25">
      <c r="C1384" s="35"/>
      <c r="L1384" s="39"/>
      <c r="BH1384" s="36"/>
    </row>
    <row r="1385" spans="3:60" x14ac:dyDescent="0.25">
      <c r="C1385" s="35"/>
      <c r="G1385" s="38"/>
      <c r="H1385" s="38"/>
      <c r="I1385" s="38"/>
      <c r="J1385" s="38"/>
      <c r="K1385" s="38"/>
      <c r="L1385" s="39"/>
      <c r="M1385" s="38"/>
      <c r="N1385" s="38"/>
      <c r="O1385" s="38"/>
      <c r="P1385" s="38"/>
      <c r="Q1385" s="38"/>
      <c r="R1385" s="38"/>
      <c r="S1385" s="38"/>
      <c r="BH1385" s="36"/>
    </row>
    <row r="1386" spans="3:60" x14ac:dyDescent="0.25">
      <c r="C1386" s="35"/>
      <c r="L1386" s="39"/>
      <c r="BH1386" s="36"/>
    </row>
    <row r="1387" spans="3:60" x14ac:dyDescent="0.25">
      <c r="C1387" s="35"/>
      <c r="G1387" s="38"/>
      <c r="H1387" s="38"/>
      <c r="I1387" s="38"/>
      <c r="J1387" s="38"/>
      <c r="K1387" s="38"/>
      <c r="L1387" s="39"/>
      <c r="M1387" s="38"/>
      <c r="N1387" s="38"/>
      <c r="O1387" s="38"/>
      <c r="P1387" s="38"/>
      <c r="Q1387" s="38"/>
      <c r="R1387" s="38"/>
      <c r="S1387" s="38"/>
      <c r="BH1387" s="36"/>
    </row>
    <row r="1388" spans="3:60" x14ac:dyDescent="0.25">
      <c r="C1388" s="35"/>
      <c r="L1388" s="39"/>
      <c r="BH1388" s="36"/>
    </row>
    <row r="1389" spans="3:60" x14ac:dyDescent="0.25">
      <c r="C1389" s="35"/>
      <c r="G1389" s="38"/>
      <c r="H1389" s="38"/>
      <c r="I1389" s="38"/>
      <c r="J1389" s="38"/>
      <c r="K1389" s="38"/>
      <c r="L1389" s="39"/>
      <c r="M1389" s="38"/>
      <c r="N1389" s="38"/>
      <c r="O1389" s="38"/>
      <c r="P1389" s="38"/>
      <c r="Q1389" s="38"/>
      <c r="R1389" s="38"/>
      <c r="S1389" s="38"/>
      <c r="BH1389" s="36"/>
    </row>
    <row r="1390" spans="3:60" x14ac:dyDescent="0.25">
      <c r="C1390" s="35"/>
      <c r="L1390" s="39"/>
      <c r="BH1390" s="36"/>
    </row>
    <row r="1391" spans="3:60" x14ac:dyDescent="0.25">
      <c r="C1391" s="35"/>
      <c r="G1391" s="38"/>
      <c r="H1391" s="38"/>
      <c r="I1391" s="38"/>
      <c r="J1391" s="38"/>
      <c r="K1391" s="38"/>
      <c r="L1391" s="39"/>
      <c r="M1391" s="38"/>
      <c r="N1391" s="38"/>
      <c r="O1391" s="38"/>
      <c r="P1391" s="38"/>
      <c r="Q1391" s="38"/>
      <c r="R1391" s="38"/>
      <c r="S1391" s="38"/>
      <c r="BH1391" s="36"/>
    </row>
    <row r="1392" spans="3:60" x14ac:dyDescent="0.25">
      <c r="C1392" s="35"/>
      <c r="L1392" s="39"/>
      <c r="BH1392" s="36"/>
    </row>
    <row r="1393" spans="3:60" x14ac:dyDescent="0.25">
      <c r="C1393" s="35"/>
      <c r="G1393" s="38"/>
      <c r="H1393" s="38"/>
      <c r="I1393" s="38"/>
      <c r="J1393" s="38"/>
      <c r="K1393" s="38"/>
      <c r="L1393" s="39"/>
      <c r="M1393" s="38"/>
      <c r="N1393" s="38"/>
      <c r="O1393" s="38"/>
      <c r="P1393" s="38"/>
      <c r="Q1393" s="38"/>
      <c r="R1393" s="38"/>
      <c r="S1393" s="38"/>
      <c r="BH1393" s="36"/>
    </row>
    <row r="1394" spans="3:60" x14ac:dyDescent="0.25">
      <c r="C1394" s="35"/>
      <c r="L1394" s="39"/>
      <c r="BH1394" s="36"/>
    </row>
    <row r="1395" spans="3:60" x14ac:dyDescent="0.25">
      <c r="C1395" s="35"/>
      <c r="G1395" s="38"/>
      <c r="H1395" s="38"/>
      <c r="I1395" s="38"/>
      <c r="J1395" s="38"/>
      <c r="K1395" s="38"/>
      <c r="L1395" s="39"/>
      <c r="M1395" s="38"/>
      <c r="N1395" s="38"/>
      <c r="O1395" s="38"/>
      <c r="P1395" s="38"/>
      <c r="Q1395" s="38"/>
      <c r="R1395" s="38"/>
      <c r="S1395" s="38"/>
      <c r="BH1395" s="36"/>
    </row>
    <row r="1396" spans="3:60" x14ac:dyDescent="0.25">
      <c r="C1396" s="35"/>
      <c r="L1396" s="39"/>
      <c r="BH1396" s="36"/>
    </row>
    <row r="1397" spans="3:60" x14ac:dyDescent="0.25">
      <c r="C1397" s="35"/>
      <c r="G1397" s="38"/>
      <c r="H1397" s="38"/>
      <c r="I1397" s="38"/>
      <c r="J1397" s="38"/>
      <c r="K1397" s="38"/>
      <c r="L1397" s="39"/>
      <c r="M1397" s="38"/>
      <c r="N1397" s="38"/>
      <c r="O1397" s="38"/>
      <c r="P1397" s="38"/>
      <c r="Q1397" s="38"/>
      <c r="R1397" s="38"/>
      <c r="S1397" s="38"/>
      <c r="BH1397" s="36"/>
    </row>
    <row r="1398" spans="3:60" x14ac:dyDescent="0.25">
      <c r="C1398" s="35"/>
      <c r="L1398" s="39"/>
      <c r="BH1398" s="36"/>
    </row>
    <row r="1399" spans="3:60" x14ac:dyDescent="0.25">
      <c r="C1399" s="35"/>
      <c r="G1399" s="38"/>
      <c r="H1399" s="38"/>
      <c r="I1399" s="38"/>
      <c r="J1399" s="38"/>
      <c r="K1399" s="38"/>
      <c r="L1399" s="39"/>
      <c r="M1399" s="38"/>
      <c r="N1399" s="38"/>
      <c r="O1399" s="38"/>
      <c r="P1399" s="38"/>
      <c r="Q1399" s="38"/>
      <c r="R1399" s="38"/>
      <c r="S1399" s="38"/>
      <c r="BH1399" s="36"/>
    </row>
    <row r="1400" spans="3:60" x14ac:dyDescent="0.25">
      <c r="C1400" s="35"/>
      <c r="L1400" s="39"/>
      <c r="BH1400" s="36"/>
    </row>
    <row r="1401" spans="3:60" x14ac:dyDescent="0.25">
      <c r="C1401" s="35"/>
      <c r="G1401" s="38"/>
      <c r="H1401" s="38"/>
      <c r="I1401" s="38"/>
      <c r="J1401" s="38"/>
      <c r="K1401" s="38"/>
      <c r="L1401" s="39"/>
      <c r="M1401" s="38"/>
      <c r="N1401" s="38"/>
      <c r="O1401" s="38"/>
      <c r="P1401" s="38"/>
      <c r="Q1401" s="38"/>
      <c r="R1401" s="38"/>
      <c r="S1401" s="38"/>
      <c r="BH1401" s="36"/>
    </row>
    <row r="1402" spans="3:60" x14ac:dyDescent="0.25">
      <c r="C1402" s="35"/>
      <c r="L1402" s="39"/>
      <c r="BH1402" s="36"/>
    </row>
    <row r="1403" spans="3:60" x14ac:dyDescent="0.25">
      <c r="C1403" s="35"/>
      <c r="G1403" s="38"/>
      <c r="H1403" s="38"/>
      <c r="I1403" s="38"/>
      <c r="J1403" s="38"/>
      <c r="K1403" s="38"/>
      <c r="L1403" s="39"/>
      <c r="M1403" s="38"/>
      <c r="N1403" s="38"/>
      <c r="O1403" s="38"/>
      <c r="P1403" s="38"/>
      <c r="Q1403" s="38"/>
      <c r="R1403" s="38"/>
      <c r="S1403" s="38"/>
      <c r="BH1403" s="36"/>
    </row>
    <row r="1404" spans="3:60" x14ac:dyDescent="0.25">
      <c r="C1404" s="35"/>
      <c r="L1404" s="39"/>
      <c r="BH1404" s="36"/>
    </row>
    <row r="1405" spans="3:60" x14ac:dyDescent="0.25">
      <c r="C1405" s="35"/>
      <c r="G1405" s="38"/>
      <c r="H1405" s="38"/>
      <c r="I1405" s="38"/>
      <c r="J1405" s="38"/>
      <c r="K1405" s="38"/>
      <c r="L1405" s="39"/>
      <c r="M1405" s="38"/>
      <c r="N1405" s="38"/>
      <c r="O1405" s="38"/>
      <c r="P1405" s="38"/>
      <c r="Q1405" s="38"/>
      <c r="R1405" s="38"/>
      <c r="S1405" s="38"/>
      <c r="BH1405" s="36"/>
    </row>
    <row r="1406" spans="3:60" x14ac:dyDescent="0.25">
      <c r="C1406" s="35"/>
      <c r="L1406" s="39"/>
      <c r="BH1406" s="36"/>
    </row>
    <row r="1407" spans="3:60" x14ac:dyDescent="0.25">
      <c r="C1407" s="35"/>
      <c r="G1407" s="38"/>
      <c r="H1407" s="38"/>
      <c r="I1407" s="38"/>
      <c r="J1407" s="38"/>
      <c r="K1407" s="38"/>
      <c r="L1407" s="39"/>
      <c r="M1407" s="38"/>
      <c r="N1407" s="38"/>
      <c r="O1407" s="38"/>
      <c r="P1407" s="38"/>
      <c r="Q1407" s="38"/>
      <c r="R1407" s="38"/>
      <c r="S1407" s="38"/>
      <c r="BH1407" s="36"/>
    </row>
    <row r="1408" spans="3:60" x14ac:dyDescent="0.25">
      <c r="C1408" s="35"/>
      <c r="L1408" s="39"/>
      <c r="BH1408" s="36"/>
    </row>
    <row r="1409" spans="3:60" x14ac:dyDescent="0.25">
      <c r="C1409" s="35"/>
      <c r="G1409" s="38"/>
      <c r="H1409" s="38"/>
      <c r="I1409" s="38"/>
      <c r="J1409" s="38"/>
      <c r="K1409" s="38"/>
      <c r="L1409" s="39"/>
      <c r="M1409" s="38"/>
      <c r="N1409" s="38"/>
      <c r="O1409" s="38"/>
      <c r="P1409" s="38"/>
      <c r="Q1409" s="38"/>
      <c r="R1409" s="38"/>
      <c r="S1409" s="38"/>
      <c r="BH1409" s="36"/>
    </row>
    <row r="1410" spans="3:60" x14ac:dyDescent="0.25">
      <c r="C1410" s="35"/>
      <c r="L1410" s="39"/>
      <c r="BH1410" s="36"/>
    </row>
    <row r="1411" spans="3:60" x14ac:dyDescent="0.25">
      <c r="C1411" s="35"/>
      <c r="G1411" s="38"/>
      <c r="H1411" s="38"/>
      <c r="I1411" s="38"/>
      <c r="J1411" s="38"/>
      <c r="K1411" s="38"/>
      <c r="L1411" s="39"/>
      <c r="M1411" s="38"/>
      <c r="N1411" s="38"/>
      <c r="O1411" s="38"/>
      <c r="P1411" s="38"/>
      <c r="Q1411" s="38"/>
      <c r="R1411" s="38"/>
      <c r="S1411" s="38"/>
      <c r="BH1411" s="36"/>
    </row>
    <row r="1412" spans="3:60" x14ac:dyDescent="0.25">
      <c r="C1412" s="35"/>
      <c r="L1412" s="39"/>
      <c r="BH1412" s="36"/>
    </row>
    <row r="1413" spans="3:60" x14ac:dyDescent="0.25">
      <c r="C1413" s="35"/>
      <c r="G1413" s="38"/>
      <c r="H1413" s="38"/>
      <c r="I1413" s="38"/>
      <c r="J1413" s="38"/>
      <c r="K1413" s="38"/>
      <c r="L1413" s="39"/>
      <c r="M1413" s="38"/>
      <c r="N1413" s="38"/>
      <c r="O1413" s="38"/>
      <c r="P1413" s="38"/>
      <c r="Q1413" s="38"/>
      <c r="R1413" s="38"/>
      <c r="S1413" s="38"/>
      <c r="BH1413" s="36"/>
    </row>
    <row r="1414" spans="3:60" x14ac:dyDescent="0.25">
      <c r="C1414" s="35"/>
      <c r="L1414" s="39"/>
      <c r="BH1414" s="36"/>
    </row>
    <row r="1415" spans="3:60" x14ac:dyDescent="0.25">
      <c r="C1415" s="35"/>
      <c r="G1415" s="38"/>
      <c r="H1415" s="38"/>
      <c r="I1415" s="38"/>
      <c r="J1415" s="38"/>
      <c r="K1415" s="38"/>
      <c r="L1415" s="39"/>
      <c r="M1415" s="38"/>
      <c r="N1415" s="38"/>
      <c r="O1415" s="38"/>
      <c r="P1415" s="38"/>
      <c r="Q1415" s="38"/>
      <c r="R1415" s="38"/>
      <c r="S1415" s="38"/>
      <c r="BH1415" s="36"/>
    </row>
    <row r="1416" spans="3:60" x14ac:dyDescent="0.25">
      <c r="C1416" s="35"/>
      <c r="L1416" s="39"/>
      <c r="BH1416" s="36"/>
    </row>
    <row r="1417" spans="3:60" x14ac:dyDescent="0.25">
      <c r="C1417" s="35"/>
      <c r="G1417" s="38"/>
      <c r="H1417" s="38"/>
      <c r="I1417" s="38"/>
      <c r="J1417" s="38"/>
      <c r="K1417" s="38"/>
      <c r="L1417" s="39"/>
      <c r="M1417" s="38"/>
      <c r="N1417" s="38"/>
      <c r="O1417" s="38"/>
      <c r="P1417" s="38"/>
      <c r="Q1417" s="38"/>
      <c r="R1417" s="38"/>
      <c r="S1417" s="38"/>
      <c r="BH1417" s="36"/>
    </row>
    <row r="1418" spans="3:60" x14ac:dyDescent="0.25">
      <c r="C1418" s="35"/>
      <c r="L1418" s="39"/>
      <c r="BH1418" s="36"/>
    </row>
    <row r="1419" spans="3:60" x14ac:dyDescent="0.25">
      <c r="C1419" s="35"/>
      <c r="G1419" s="38"/>
      <c r="H1419" s="38"/>
      <c r="I1419" s="38"/>
      <c r="J1419" s="38"/>
      <c r="K1419" s="38"/>
      <c r="L1419" s="39"/>
      <c r="M1419" s="38"/>
      <c r="N1419" s="38"/>
      <c r="O1419" s="38"/>
      <c r="P1419" s="38"/>
      <c r="Q1419" s="38"/>
      <c r="R1419" s="38"/>
      <c r="S1419" s="38"/>
      <c r="BH1419" s="36"/>
    </row>
    <row r="1420" spans="3:60" x14ac:dyDescent="0.25">
      <c r="C1420" s="35"/>
      <c r="L1420" s="39"/>
      <c r="BH1420" s="36"/>
    </row>
    <row r="1421" spans="3:60" x14ac:dyDescent="0.25">
      <c r="C1421" s="35"/>
      <c r="G1421" s="38"/>
      <c r="H1421" s="38"/>
      <c r="I1421" s="38"/>
      <c r="J1421" s="38"/>
      <c r="K1421" s="38"/>
      <c r="L1421" s="39"/>
      <c r="M1421" s="38"/>
      <c r="N1421" s="38"/>
      <c r="O1421" s="38"/>
      <c r="P1421" s="38"/>
      <c r="Q1421" s="38"/>
      <c r="R1421" s="38"/>
      <c r="S1421" s="38"/>
      <c r="BH1421" s="36"/>
    </row>
    <row r="1422" spans="3:60" x14ac:dyDescent="0.25">
      <c r="C1422" s="35"/>
      <c r="L1422" s="39"/>
      <c r="BH1422" s="36"/>
    </row>
    <row r="1423" spans="3:60" x14ac:dyDescent="0.25">
      <c r="C1423" s="35"/>
      <c r="G1423" s="38"/>
      <c r="H1423" s="38"/>
      <c r="I1423" s="38"/>
      <c r="J1423" s="38"/>
      <c r="K1423" s="38"/>
      <c r="L1423" s="39"/>
      <c r="M1423" s="38"/>
      <c r="N1423" s="38"/>
      <c r="O1423" s="38"/>
      <c r="P1423" s="38"/>
      <c r="Q1423" s="38"/>
      <c r="R1423" s="38"/>
      <c r="S1423" s="38"/>
      <c r="BH1423" s="36"/>
    </row>
    <row r="1424" spans="3:60" x14ac:dyDescent="0.25">
      <c r="C1424" s="35"/>
      <c r="L1424" s="39"/>
      <c r="BH1424" s="36"/>
    </row>
    <row r="1425" spans="3:60" x14ac:dyDescent="0.25">
      <c r="C1425" s="35"/>
      <c r="G1425" s="38"/>
      <c r="H1425" s="38"/>
      <c r="I1425" s="38"/>
      <c r="J1425" s="38"/>
      <c r="K1425" s="38"/>
      <c r="L1425" s="39"/>
      <c r="M1425" s="38"/>
      <c r="N1425" s="38"/>
      <c r="O1425" s="38"/>
      <c r="P1425" s="38"/>
      <c r="Q1425" s="38"/>
      <c r="R1425" s="38"/>
      <c r="S1425" s="38"/>
      <c r="BH1425" s="36"/>
    </row>
    <row r="1426" spans="3:60" x14ac:dyDescent="0.25">
      <c r="C1426" s="35"/>
      <c r="L1426" s="39"/>
      <c r="BH1426" s="36"/>
    </row>
    <row r="1427" spans="3:60" x14ac:dyDescent="0.25">
      <c r="C1427" s="35"/>
      <c r="G1427" s="38"/>
      <c r="H1427" s="38"/>
      <c r="I1427" s="38"/>
      <c r="J1427" s="38"/>
      <c r="K1427" s="38"/>
      <c r="L1427" s="39"/>
      <c r="M1427" s="38"/>
      <c r="N1427" s="38"/>
      <c r="O1427" s="38"/>
      <c r="P1427" s="38"/>
      <c r="Q1427" s="38"/>
      <c r="R1427" s="38"/>
      <c r="S1427" s="38"/>
      <c r="BH1427" s="36"/>
    </row>
    <row r="1428" spans="3:60" x14ac:dyDescent="0.25">
      <c r="C1428" s="35"/>
      <c r="L1428" s="39"/>
      <c r="BH1428" s="36"/>
    </row>
    <row r="1429" spans="3:60" x14ac:dyDescent="0.25">
      <c r="C1429" s="35"/>
      <c r="G1429" s="38"/>
      <c r="H1429" s="38"/>
      <c r="I1429" s="38"/>
      <c r="J1429" s="38"/>
      <c r="K1429" s="38"/>
      <c r="L1429" s="39"/>
      <c r="M1429" s="38"/>
      <c r="N1429" s="38"/>
      <c r="O1429" s="38"/>
      <c r="P1429" s="38"/>
      <c r="Q1429" s="38"/>
      <c r="R1429" s="38"/>
      <c r="S1429" s="38"/>
      <c r="BH1429" s="36"/>
    </row>
    <row r="1430" spans="3:60" x14ac:dyDescent="0.25">
      <c r="C1430" s="35"/>
      <c r="L1430" s="39"/>
      <c r="BH1430" s="36"/>
    </row>
    <row r="1431" spans="3:60" x14ac:dyDescent="0.25">
      <c r="C1431" s="35"/>
      <c r="G1431" s="38"/>
      <c r="H1431" s="38"/>
      <c r="I1431" s="38"/>
      <c r="J1431" s="38"/>
      <c r="K1431" s="38"/>
      <c r="L1431" s="39"/>
      <c r="M1431" s="38"/>
      <c r="N1431" s="38"/>
      <c r="O1431" s="38"/>
      <c r="P1431" s="38"/>
      <c r="Q1431" s="38"/>
      <c r="R1431" s="38"/>
      <c r="S1431" s="38"/>
      <c r="BH1431" s="36"/>
    </row>
    <row r="1432" spans="3:60" x14ac:dyDescent="0.25">
      <c r="C1432" s="35"/>
      <c r="L1432" s="39"/>
      <c r="BH1432" s="36"/>
    </row>
    <row r="1433" spans="3:60" x14ac:dyDescent="0.25">
      <c r="C1433" s="35"/>
      <c r="G1433" s="38"/>
      <c r="H1433" s="38"/>
      <c r="I1433" s="38"/>
      <c r="J1433" s="38"/>
      <c r="K1433" s="38"/>
      <c r="L1433" s="39"/>
      <c r="M1433" s="38"/>
      <c r="N1433" s="38"/>
      <c r="O1433" s="38"/>
      <c r="P1433" s="38"/>
      <c r="Q1433" s="38"/>
      <c r="R1433" s="38"/>
      <c r="S1433" s="38"/>
      <c r="BH1433" s="36"/>
    </row>
    <row r="1434" spans="3:60" x14ac:dyDescent="0.25">
      <c r="C1434" s="35"/>
      <c r="L1434" s="39"/>
      <c r="BH1434" s="36"/>
    </row>
    <row r="1435" spans="3:60" x14ac:dyDescent="0.25">
      <c r="C1435" s="35"/>
      <c r="G1435" s="38"/>
      <c r="H1435" s="38"/>
      <c r="I1435" s="38"/>
      <c r="J1435" s="38"/>
      <c r="K1435" s="38"/>
      <c r="L1435" s="39"/>
      <c r="M1435" s="38"/>
      <c r="N1435" s="38"/>
      <c r="O1435" s="38"/>
      <c r="P1435" s="38"/>
      <c r="Q1435" s="38"/>
      <c r="R1435" s="38"/>
      <c r="S1435" s="38"/>
      <c r="BH1435" s="36"/>
    </row>
    <row r="1436" spans="3:60" x14ac:dyDescent="0.25">
      <c r="C1436" s="35"/>
      <c r="L1436" s="39"/>
      <c r="BH1436" s="36"/>
    </row>
    <row r="1437" spans="3:60" x14ac:dyDescent="0.25">
      <c r="C1437" s="35"/>
      <c r="G1437" s="38"/>
      <c r="H1437" s="38"/>
      <c r="I1437" s="38"/>
      <c r="J1437" s="38"/>
      <c r="K1437" s="38"/>
      <c r="L1437" s="39"/>
      <c r="M1437" s="38"/>
      <c r="N1437" s="38"/>
      <c r="O1437" s="38"/>
      <c r="P1437" s="38"/>
      <c r="Q1437" s="38"/>
      <c r="R1437" s="38"/>
      <c r="S1437" s="38"/>
      <c r="BH1437" s="36"/>
    </row>
    <row r="1438" spans="3:60" x14ac:dyDescent="0.25">
      <c r="C1438" s="35"/>
      <c r="L1438" s="39"/>
      <c r="BH1438" s="36"/>
    </row>
    <row r="1439" spans="3:60" x14ac:dyDescent="0.25">
      <c r="C1439" s="35"/>
      <c r="G1439" s="38"/>
      <c r="H1439" s="38"/>
      <c r="I1439" s="38"/>
      <c r="J1439" s="38"/>
      <c r="K1439" s="38"/>
      <c r="L1439" s="39"/>
      <c r="M1439" s="38"/>
      <c r="N1439" s="38"/>
      <c r="O1439" s="38"/>
      <c r="P1439" s="38"/>
      <c r="Q1439" s="38"/>
      <c r="R1439" s="38"/>
      <c r="S1439" s="38"/>
      <c r="BH1439" s="36"/>
    </row>
    <row r="1440" spans="3:60" x14ac:dyDescent="0.25">
      <c r="C1440" s="35"/>
      <c r="L1440" s="39"/>
      <c r="BH1440" s="36"/>
    </row>
    <row r="1441" spans="3:60" x14ac:dyDescent="0.25">
      <c r="C1441" s="35"/>
      <c r="G1441" s="38"/>
      <c r="H1441" s="38"/>
      <c r="I1441" s="38"/>
      <c r="J1441" s="38"/>
      <c r="K1441" s="38"/>
      <c r="L1441" s="39"/>
      <c r="M1441" s="38"/>
      <c r="N1441" s="38"/>
      <c r="O1441" s="38"/>
      <c r="P1441" s="38"/>
      <c r="Q1441" s="38"/>
      <c r="R1441" s="38"/>
      <c r="S1441" s="38"/>
      <c r="BH1441" s="36"/>
    </row>
    <row r="1442" spans="3:60" x14ac:dyDescent="0.25">
      <c r="C1442" s="35"/>
      <c r="L1442" s="39"/>
      <c r="BH1442" s="36"/>
    </row>
    <row r="1443" spans="3:60" x14ac:dyDescent="0.25">
      <c r="C1443" s="35"/>
      <c r="G1443" s="38"/>
      <c r="H1443" s="38"/>
      <c r="I1443" s="38"/>
      <c r="J1443" s="38"/>
      <c r="K1443" s="38"/>
      <c r="L1443" s="39"/>
      <c r="M1443" s="38"/>
      <c r="N1443" s="38"/>
      <c r="O1443" s="38"/>
      <c r="P1443" s="38"/>
      <c r="Q1443" s="38"/>
      <c r="R1443" s="38"/>
      <c r="S1443" s="38"/>
      <c r="BH1443" s="36"/>
    </row>
    <row r="1444" spans="3:60" x14ac:dyDescent="0.25">
      <c r="C1444" s="35"/>
      <c r="L1444" s="39"/>
      <c r="BH1444" s="36"/>
    </row>
    <row r="1445" spans="3:60" x14ac:dyDescent="0.25">
      <c r="C1445" s="35"/>
      <c r="G1445" s="38"/>
      <c r="H1445" s="38"/>
      <c r="I1445" s="38"/>
      <c r="J1445" s="38"/>
      <c r="K1445" s="38"/>
      <c r="L1445" s="39"/>
      <c r="M1445" s="38"/>
      <c r="N1445" s="38"/>
      <c r="O1445" s="38"/>
      <c r="P1445" s="38"/>
      <c r="Q1445" s="38"/>
      <c r="R1445" s="38"/>
      <c r="S1445" s="38"/>
      <c r="BH1445" s="36"/>
    </row>
    <row r="1446" spans="3:60" x14ac:dyDescent="0.25">
      <c r="C1446" s="35"/>
      <c r="L1446" s="39"/>
      <c r="BH1446" s="36"/>
    </row>
    <row r="1447" spans="3:60" x14ac:dyDescent="0.25">
      <c r="C1447" s="35"/>
      <c r="G1447" s="38"/>
      <c r="H1447" s="38"/>
      <c r="I1447" s="38"/>
      <c r="J1447" s="38"/>
      <c r="K1447" s="38"/>
      <c r="L1447" s="39"/>
      <c r="M1447" s="38"/>
      <c r="N1447" s="38"/>
      <c r="O1447" s="38"/>
      <c r="P1447" s="38"/>
      <c r="Q1447" s="38"/>
      <c r="R1447" s="38"/>
      <c r="S1447" s="38"/>
      <c r="BH1447" s="36"/>
    </row>
    <row r="1448" spans="3:60" x14ac:dyDescent="0.25">
      <c r="C1448" s="35"/>
      <c r="L1448" s="39"/>
      <c r="BH1448" s="36"/>
    </row>
    <row r="1449" spans="3:60" x14ac:dyDescent="0.25">
      <c r="C1449" s="35"/>
      <c r="G1449" s="38"/>
      <c r="H1449" s="38"/>
      <c r="I1449" s="38"/>
      <c r="J1449" s="38"/>
      <c r="K1449" s="38"/>
      <c r="L1449" s="39"/>
      <c r="M1449" s="38"/>
      <c r="N1449" s="38"/>
      <c r="O1449" s="38"/>
      <c r="P1449" s="38"/>
      <c r="Q1449" s="38"/>
      <c r="R1449" s="38"/>
      <c r="S1449" s="38"/>
      <c r="BH1449" s="36"/>
    </row>
    <row r="1450" spans="3:60" x14ac:dyDescent="0.25">
      <c r="C1450" s="35"/>
      <c r="L1450" s="39"/>
      <c r="BH1450" s="36"/>
    </row>
    <row r="1451" spans="3:60" x14ac:dyDescent="0.25">
      <c r="C1451" s="35"/>
      <c r="G1451" s="38"/>
      <c r="H1451" s="38"/>
      <c r="I1451" s="38"/>
      <c r="J1451" s="38"/>
      <c r="K1451" s="38"/>
      <c r="L1451" s="39"/>
      <c r="M1451" s="38"/>
      <c r="N1451" s="38"/>
      <c r="O1451" s="38"/>
      <c r="P1451" s="38"/>
      <c r="Q1451" s="38"/>
      <c r="R1451" s="38"/>
      <c r="S1451" s="38"/>
      <c r="BH1451" s="36"/>
    </row>
    <row r="1452" spans="3:60" x14ac:dyDescent="0.25">
      <c r="C1452" s="35"/>
      <c r="L1452" s="39"/>
      <c r="BH1452" s="36"/>
    </row>
    <row r="1453" spans="3:60" x14ac:dyDescent="0.25">
      <c r="C1453" s="35"/>
      <c r="G1453" s="38"/>
      <c r="H1453" s="38"/>
      <c r="I1453" s="38"/>
      <c r="J1453" s="38"/>
      <c r="K1453" s="38"/>
      <c r="L1453" s="39"/>
      <c r="M1453" s="38"/>
      <c r="N1453" s="38"/>
      <c r="O1453" s="38"/>
      <c r="P1453" s="38"/>
      <c r="Q1453" s="38"/>
      <c r="R1453" s="38"/>
      <c r="S1453" s="38"/>
      <c r="BH1453" s="36"/>
    </row>
    <row r="1454" spans="3:60" x14ac:dyDescent="0.25">
      <c r="C1454" s="35"/>
      <c r="L1454" s="39"/>
      <c r="BH1454" s="36"/>
    </row>
    <row r="1455" spans="3:60" x14ac:dyDescent="0.25">
      <c r="C1455" s="35"/>
      <c r="G1455" s="38"/>
      <c r="H1455" s="38"/>
      <c r="I1455" s="38"/>
      <c r="J1455" s="38"/>
      <c r="K1455" s="38"/>
      <c r="L1455" s="39"/>
      <c r="M1455" s="38"/>
      <c r="N1455" s="38"/>
      <c r="O1455" s="38"/>
      <c r="P1455" s="38"/>
      <c r="Q1455" s="38"/>
      <c r="R1455" s="38"/>
      <c r="S1455" s="38"/>
      <c r="BH1455" s="36"/>
    </row>
    <row r="1456" spans="3:60" x14ac:dyDescent="0.25">
      <c r="C1456" s="35"/>
      <c r="L1456" s="39"/>
      <c r="BH1456" s="36"/>
    </row>
    <row r="1457" spans="3:60" x14ac:dyDescent="0.25">
      <c r="C1457" s="35"/>
      <c r="G1457" s="38"/>
      <c r="H1457" s="38"/>
      <c r="I1457" s="38"/>
      <c r="J1457" s="38"/>
      <c r="K1457" s="38"/>
      <c r="L1457" s="39"/>
      <c r="M1457" s="38"/>
      <c r="N1457" s="38"/>
      <c r="O1457" s="38"/>
      <c r="P1457" s="38"/>
      <c r="Q1457" s="38"/>
      <c r="R1457" s="38"/>
      <c r="S1457" s="38"/>
      <c r="BH1457" s="36"/>
    </row>
    <row r="1458" spans="3:60" x14ac:dyDescent="0.25">
      <c r="C1458" s="35"/>
      <c r="L1458" s="39"/>
      <c r="BH1458" s="36"/>
    </row>
    <row r="1459" spans="3:60" x14ac:dyDescent="0.25">
      <c r="C1459" s="35"/>
      <c r="G1459" s="38"/>
      <c r="H1459" s="38"/>
      <c r="I1459" s="38"/>
      <c r="J1459" s="38"/>
      <c r="K1459" s="38"/>
      <c r="L1459" s="39"/>
      <c r="M1459" s="38"/>
      <c r="N1459" s="38"/>
      <c r="O1459" s="38"/>
      <c r="P1459" s="38"/>
      <c r="Q1459" s="38"/>
      <c r="R1459" s="38"/>
      <c r="S1459" s="38"/>
      <c r="BH1459" s="36"/>
    </row>
    <row r="1460" spans="3:60" x14ac:dyDescent="0.25">
      <c r="C1460" s="35"/>
      <c r="L1460" s="39"/>
      <c r="BH1460" s="36"/>
    </row>
    <row r="1461" spans="3:60" x14ac:dyDescent="0.25">
      <c r="C1461" s="35"/>
      <c r="G1461" s="38"/>
      <c r="H1461" s="38"/>
      <c r="I1461" s="38"/>
      <c r="J1461" s="38"/>
      <c r="K1461" s="38"/>
      <c r="L1461" s="39"/>
      <c r="M1461" s="38"/>
      <c r="N1461" s="38"/>
      <c r="O1461" s="38"/>
      <c r="P1461" s="38"/>
      <c r="Q1461" s="38"/>
      <c r="R1461" s="38"/>
      <c r="S1461" s="38"/>
      <c r="BH1461" s="36"/>
    </row>
    <row r="1462" spans="3:60" x14ac:dyDescent="0.25">
      <c r="C1462" s="35"/>
      <c r="L1462" s="39"/>
      <c r="BH1462" s="36"/>
    </row>
    <row r="1463" spans="3:60" x14ac:dyDescent="0.25">
      <c r="C1463" s="35"/>
      <c r="G1463" s="38"/>
      <c r="H1463" s="38"/>
      <c r="I1463" s="38"/>
      <c r="J1463" s="38"/>
      <c r="K1463" s="38"/>
      <c r="L1463" s="39"/>
      <c r="M1463" s="38"/>
      <c r="N1463" s="38"/>
      <c r="O1463" s="38"/>
      <c r="P1463" s="38"/>
      <c r="Q1463" s="38"/>
      <c r="R1463" s="38"/>
      <c r="S1463" s="38"/>
      <c r="BH1463" s="36"/>
    </row>
    <row r="1464" spans="3:60" x14ac:dyDescent="0.25">
      <c r="C1464" s="35"/>
      <c r="L1464" s="39"/>
      <c r="BH1464" s="36"/>
    </row>
    <row r="1465" spans="3:60" x14ac:dyDescent="0.25">
      <c r="C1465" s="35"/>
      <c r="G1465" s="38"/>
      <c r="H1465" s="38"/>
      <c r="I1465" s="38"/>
      <c r="J1465" s="38"/>
      <c r="K1465" s="38"/>
      <c r="L1465" s="39"/>
      <c r="M1465" s="38"/>
      <c r="N1465" s="38"/>
      <c r="O1465" s="38"/>
      <c r="P1465" s="38"/>
      <c r="Q1465" s="38"/>
      <c r="R1465" s="38"/>
      <c r="S1465" s="38"/>
      <c r="BH1465" s="36"/>
    </row>
    <row r="1466" spans="3:60" x14ac:dyDescent="0.25">
      <c r="C1466" s="35"/>
      <c r="L1466" s="39"/>
      <c r="BH1466" s="36"/>
    </row>
    <row r="1467" spans="3:60" x14ac:dyDescent="0.25">
      <c r="C1467" s="35"/>
      <c r="G1467" s="38"/>
      <c r="H1467" s="38"/>
      <c r="I1467" s="38"/>
      <c r="J1467" s="38"/>
      <c r="K1467" s="38"/>
      <c r="L1467" s="39"/>
      <c r="M1467" s="38"/>
      <c r="N1467" s="38"/>
      <c r="O1467" s="38"/>
      <c r="P1467" s="38"/>
      <c r="Q1467" s="38"/>
      <c r="R1467" s="38"/>
      <c r="S1467" s="38"/>
      <c r="BH1467" s="36"/>
    </row>
    <row r="1468" spans="3:60" x14ac:dyDescent="0.25">
      <c r="C1468" s="35"/>
      <c r="L1468" s="39"/>
      <c r="BH1468" s="36"/>
    </row>
    <row r="1469" spans="3:60" x14ac:dyDescent="0.25">
      <c r="C1469" s="35"/>
      <c r="G1469" s="38"/>
      <c r="H1469" s="38"/>
      <c r="I1469" s="38"/>
      <c r="J1469" s="38"/>
      <c r="K1469" s="38"/>
      <c r="L1469" s="39"/>
      <c r="M1469" s="38"/>
      <c r="N1469" s="38"/>
      <c r="O1469" s="38"/>
      <c r="P1469" s="38"/>
      <c r="Q1469" s="38"/>
      <c r="R1469" s="38"/>
      <c r="S1469" s="38"/>
      <c r="BH1469" s="36"/>
    </row>
    <row r="1470" spans="3:60" x14ac:dyDescent="0.25">
      <c r="C1470" s="35"/>
      <c r="L1470" s="39"/>
      <c r="BH1470" s="36"/>
    </row>
    <row r="1471" spans="3:60" x14ac:dyDescent="0.25">
      <c r="C1471" s="35"/>
      <c r="G1471" s="38"/>
      <c r="H1471" s="38"/>
      <c r="I1471" s="38"/>
      <c r="J1471" s="38"/>
      <c r="K1471" s="38"/>
      <c r="L1471" s="39"/>
      <c r="M1471" s="38"/>
      <c r="N1471" s="38"/>
      <c r="O1471" s="38"/>
      <c r="P1471" s="38"/>
      <c r="Q1471" s="38"/>
      <c r="R1471" s="38"/>
      <c r="S1471" s="38"/>
      <c r="BH1471" s="36"/>
    </row>
    <row r="1472" spans="3:60" x14ac:dyDescent="0.25">
      <c r="C1472" s="35"/>
      <c r="L1472" s="39"/>
      <c r="BH1472" s="36"/>
    </row>
    <row r="1473" spans="3:60" x14ac:dyDescent="0.25">
      <c r="C1473" s="35"/>
      <c r="G1473" s="38"/>
      <c r="H1473" s="38"/>
      <c r="I1473" s="38"/>
      <c r="J1473" s="38"/>
      <c r="K1473" s="38"/>
      <c r="L1473" s="39"/>
      <c r="M1473" s="38"/>
      <c r="N1473" s="38"/>
      <c r="O1473" s="38"/>
      <c r="P1473" s="38"/>
      <c r="Q1473" s="38"/>
      <c r="R1473" s="38"/>
      <c r="S1473" s="38"/>
      <c r="BH1473" s="36"/>
    </row>
    <row r="1474" spans="3:60" x14ac:dyDescent="0.25">
      <c r="C1474" s="35"/>
      <c r="L1474" s="39"/>
      <c r="BH1474" s="36"/>
    </row>
    <row r="1475" spans="3:60" x14ac:dyDescent="0.25">
      <c r="C1475" s="35"/>
      <c r="G1475" s="38"/>
      <c r="H1475" s="38"/>
      <c r="I1475" s="38"/>
      <c r="J1475" s="38"/>
      <c r="K1475" s="38"/>
      <c r="L1475" s="39"/>
      <c r="M1475" s="38"/>
      <c r="N1475" s="38"/>
      <c r="O1475" s="38"/>
      <c r="P1475" s="38"/>
      <c r="Q1475" s="38"/>
      <c r="R1475" s="38"/>
      <c r="S1475" s="38"/>
      <c r="BH1475" s="36"/>
    </row>
    <row r="1476" spans="3:60" x14ac:dyDescent="0.25">
      <c r="C1476" s="35"/>
      <c r="L1476" s="39"/>
      <c r="BH1476" s="36"/>
    </row>
    <row r="1477" spans="3:60" x14ac:dyDescent="0.25">
      <c r="C1477" s="35"/>
      <c r="G1477" s="38"/>
      <c r="H1477" s="38"/>
      <c r="I1477" s="38"/>
      <c r="J1477" s="38"/>
      <c r="K1477" s="38"/>
      <c r="L1477" s="39"/>
      <c r="M1477" s="38"/>
      <c r="N1477" s="38"/>
      <c r="O1477" s="38"/>
      <c r="P1477" s="38"/>
      <c r="Q1477" s="38"/>
      <c r="R1477" s="38"/>
      <c r="S1477" s="38"/>
      <c r="BH1477" s="36"/>
    </row>
    <row r="1478" spans="3:60" x14ac:dyDescent="0.25">
      <c r="C1478" s="35"/>
      <c r="L1478" s="39"/>
      <c r="BH1478" s="36"/>
    </row>
    <row r="1479" spans="3:60" x14ac:dyDescent="0.25">
      <c r="C1479" s="35"/>
      <c r="G1479" s="38"/>
      <c r="H1479" s="38"/>
      <c r="I1479" s="38"/>
      <c r="J1479" s="38"/>
      <c r="K1479" s="38"/>
      <c r="L1479" s="39"/>
      <c r="M1479" s="38"/>
      <c r="N1479" s="38"/>
      <c r="O1479" s="38"/>
      <c r="P1479" s="38"/>
      <c r="Q1479" s="38"/>
      <c r="R1479" s="38"/>
      <c r="S1479" s="38"/>
      <c r="BH1479" s="36"/>
    </row>
    <row r="1480" spans="3:60" x14ac:dyDescent="0.25">
      <c r="C1480" s="35"/>
      <c r="L1480" s="39"/>
      <c r="BH1480" s="36"/>
    </row>
    <row r="1481" spans="3:60" x14ac:dyDescent="0.25">
      <c r="C1481" s="35"/>
      <c r="G1481" s="38"/>
      <c r="H1481" s="38"/>
      <c r="I1481" s="38"/>
      <c r="J1481" s="38"/>
      <c r="K1481" s="38"/>
      <c r="L1481" s="39"/>
      <c r="M1481" s="38"/>
      <c r="N1481" s="38"/>
      <c r="O1481" s="38"/>
      <c r="P1481" s="38"/>
      <c r="Q1481" s="38"/>
      <c r="R1481" s="38"/>
      <c r="S1481" s="38"/>
      <c r="BH1481" s="36"/>
    </row>
    <row r="1482" spans="3:60" x14ac:dyDescent="0.25">
      <c r="C1482" s="35"/>
      <c r="L1482" s="39"/>
      <c r="BH1482" s="36"/>
    </row>
    <row r="1483" spans="3:60" x14ac:dyDescent="0.25">
      <c r="C1483" s="35"/>
      <c r="G1483" s="38"/>
      <c r="H1483" s="38"/>
      <c r="I1483" s="38"/>
      <c r="J1483" s="38"/>
      <c r="K1483" s="38"/>
      <c r="L1483" s="39"/>
      <c r="M1483" s="38"/>
      <c r="N1483" s="38"/>
      <c r="O1483" s="38"/>
      <c r="P1483" s="38"/>
      <c r="Q1483" s="38"/>
      <c r="R1483" s="38"/>
      <c r="S1483" s="38"/>
      <c r="BH1483" s="36"/>
    </row>
    <row r="1484" spans="3:60" x14ac:dyDescent="0.25">
      <c r="C1484" s="35"/>
      <c r="L1484" s="39"/>
      <c r="BH1484" s="36"/>
    </row>
    <row r="1485" spans="3:60" x14ac:dyDescent="0.25">
      <c r="C1485" s="35"/>
      <c r="G1485" s="38"/>
      <c r="H1485" s="38"/>
      <c r="I1485" s="38"/>
      <c r="J1485" s="38"/>
      <c r="K1485" s="38"/>
      <c r="L1485" s="39"/>
      <c r="M1485" s="38"/>
      <c r="N1485" s="38"/>
      <c r="O1485" s="38"/>
      <c r="P1485" s="38"/>
      <c r="Q1485" s="38"/>
      <c r="R1485" s="38"/>
      <c r="S1485" s="38"/>
      <c r="BH1485" s="36"/>
    </row>
    <row r="1486" spans="3:60" x14ac:dyDescent="0.25">
      <c r="C1486" s="35"/>
      <c r="L1486" s="39"/>
      <c r="BH1486" s="36"/>
    </row>
    <row r="1487" spans="3:60" x14ac:dyDescent="0.25">
      <c r="C1487" s="35"/>
      <c r="G1487" s="38"/>
      <c r="H1487" s="38"/>
      <c r="I1487" s="38"/>
      <c r="J1487" s="38"/>
      <c r="K1487" s="38"/>
      <c r="L1487" s="39"/>
      <c r="M1487" s="38"/>
      <c r="N1487" s="38"/>
      <c r="O1487" s="38"/>
      <c r="P1487" s="38"/>
      <c r="Q1487" s="38"/>
      <c r="R1487" s="38"/>
      <c r="S1487" s="38"/>
      <c r="BH1487" s="36"/>
    </row>
    <row r="1488" spans="3:60" x14ac:dyDescent="0.25">
      <c r="C1488" s="35"/>
      <c r="L1488" s="39"/>
      <c r="BH1488" s="36"/>
    </row>
    <row r="1489" spans="3:60" x14ac:dyDescent="0.25">
      <c r="C1489" s="35"/>
      <c r="G1489" s="38"/>
      <c r="H1489" s="38"/>
      <c r="I1489" s="38"/>
      <c r="J1489" s="38"/>
      <c r="K1489" s="38"/>
      <c r="L1489" s="39"/>
      <c r="M1489" s="38"/>
      <c r="N1489" s="38"/>
      <c r="O1489" s="38"/>
      <c r="P1489" s="38"/>
      <c r="Q1489" s="38"/>
      <c r="R1489" s="38"/>
      <c r="S1489" s="38"/>
      <c r="BH1489" s="36"/>
    </row>
    <row r="1490" spans="3:60" x14ac:dyDescent="0.25">
      <c r="C1490" s="35"/>
      <c r="L1490" s="39"/>
      <c r="BH1490" s="36"/>
    </row>
    <row r="1491" spans="3:60" x14ac:dyDescent="0.25">
      <c r="C1491" s="35"/>
      <c r="G1491" s="38"/>
      <c r="H1491" s="38"/>
      <c r="I1491" s="38"/>
      <c r="J1491" s="38"/>
      <c r="K1491" s="38"/>
      <c r="L1491" s="39"/>
      <c r="M1491" s="38"/>
      <c r="N1491" s="38"/>
      <c r="O1491" s="38"/>
      <c r="P1491" s="38"/>
      <c r="Q1491" s="38"/>
      <c r="R1491" s="38"/>
      <c r="S1491" s="38"/>
      <c r="BH1491" s="36"/>
    </row>
    <row r="1492" spans="3:60" x14ac:dyDescent="0.25">
      <c r="C1492" s="35"/>
      <c r="L1492" s="39"/>
      <c r="BH1492" s="36"/>
    </row>
    <row r="1493" spans="3:60" x14ac:dyDescent="0.25">
      <c r="C1493" s="35"/>
      <c r="G1493" s="38"/>
      <c r="H1493" s="38"/>
      <c r="I1493" s="38"/>
      <c r="J1493" s="38"/>
      <c r="K1493" s="38"/>
      <c r="L1493" s="39"/>
      <c r="M1493" s="38"/>
      <c r="N1493" s="38"/>
      <c r="O1493" s="38"/>
      <c r="P1493" s="38"/>
      <c r="Q1493" s="38"/>
      <c r="R1493" s="38"/>
      <c r="S1493" s="38"/>
      <c r="BH1493" s="36"/>
    </row>
    <row r="1494" spans="3:60" x14ac:dyDescent="0.25">
      <c r="C1494" s="35"/>
      <c r="L1494" s="39"/>
      <c r="BH1494" s="36"/>
    </row>
    <row r="1495" spans="3:60" x14ac:dyDescent="0.25">
      <c r="C1495" s="35"/>
      <c r="G1495" s="38"/>
      <c r="H1495" s="38"/>
      <c r="I1495" s="38"/>
      <c r="J1495" s="38"/>
      <c r="K1495" s="38"/>
      <c r="L1495" s="39"/>
      <c r="M1495" s="38"/>
      <c r="N1495" s="38"/>
      <c r="O1495" s="38"/>
      <c r="P1495" s="38"/>
      <c r="Q1495" s="38"/>
      <c r="R1495" s="38"/>
      <c r="S1495" s="38"/>
      <c r="BH1495" s="36"/>
    </row>
    <row r="1496" spans="3:60" x14ac:dyDescent="0.25">
      <c r="C1496" s="35"/>
      <c r="L1496" s="39"/>
      <c r="BH1496" s="36"/>
    </row>
    <row r="1497" spans="3:60" x14ac:dyDescent="0.25">
      <c r="C1497" s="35"/>
      <c r="G1497" s="38"/>
      <c r="H1497" s="38"/>
      <c r="I1497" s="38"/>
      <c r="J1497" s="38"/>
      <c r="K1497" s="38"/>
      <c r="L1497" s="39"/>
      <c r="M1497" s="38"/>
      <c r="N1497" s="38"/>
      <c r="O1497" s="38"/>
      <c r="P1497" s="38"/>
      <c r="Q1497" s="38"/>
      <c r="R1497" s="38"/>
      <c r="S1497" s="38"/>
      <c r="BH1497" s="36"/>
    </row>
    <row r="1498" spans="3:60" x14ac:dyDescent="0.25">
      <c r="C1498" s="35"/>
      <c r="L1498" s="39"/>
      <c r="BH1498" s="36"/>
    </row>
    <row r="1499" spans="3:60" x14ac:dyDescent="0.25">
      <c r="C1499" s="35"/>
      <c r="G1499" s="38"/>
      <c r="H1499" s="38"/>
      <c r="I1499" s="38"/>
      <c r="J1499" s="38"/>
      <c r="K1499" s="38"/>
      <c r="L1499" s="39"/>
      <c r="M1499" s="38"/>
      <c r="N1499" s="38"/>
      <c r="O1499" s="38"/>
      <c r="P1499" s="38"/>
      <c r="Q1499" s="38"/>
      <c r="R1499" s="38"/>
      <c r="S1499" s="38"/>
      <c r="BH1499" s="36"/>
    </row>
    <row r="1500" spans="3:60" x14ac:dyDescent="0.25">
      <c r="C1500" s="35"/>
      <c r="L1500" s="39"/>
      <c r="BH1500" s="36"/>
    </row>
    <row r="1501" spans="3:60" x14ac:dyDescent="0.25">
      <c r="C1501" s="35"/>
      <c r="G1501" s="38"/>
      <c r="H1501" s="38"/>
      <c r="I1501" s="38"/>
      <c r="J1501" s="38"/>
      <c r="K1501" s="38"/>
      <c r="L1501" s="39"/>
      <c r="M1501" s="38"/>
      <c r="N1501" s="38"/>
      <c r="O1501" s="38"/>
      <c r="P1501" s="38"/>
      <c r="Q1501" s="38"/>
      <c r="R1501" s="38"/>
      <c r="S1501" s="38"/>
      <c r="BH1501" s="36"/>
    </row>
    <row r="1502" spans="3:60" x14ac:dyDescent="0.25">
      <c r="C1502" s="35"/>
      <c r="L1502" s="39"/>
      <c r="BH1502" s="36"/>
    </row>
    <row r="1503" spans="3:60" x14ac:dyDescent="0.25">
      <c r="C1503" s="35"/>
      <c r="G1503" s="38"/>
      <c r="H1503" s="38"/>
      <c r="I1503" s="38"/>
      <c r="J1503" s="38"/>
      <c r="K1503" s="38"/>
      <c r="L1503" s="39"/>
      <c r="M1503" s="38"/>
      <c r="N1503" s="38"/>
      <c r="O1503" s="38"/>
      <c r="P1503" s="38"/>
      <c r="Q1503" s="38"/>
      <c r="R1503" s="38"/>
      <c r="S1503" s="38"/>
      <c r="BH1503" s="36"/>
    </row>
    <row r="1504" spans="3:60" x14ac:dyDescent="0.25">
      <c r="C1504" s="35"/>
      <c r="L1504" s="39"/>
      <c r="BH1504" s="36"/>
    </row>
    <row r="1505" spans="3:60" x14ac:dyDescent="0.25">
      <c r="C1505" s="35"/>
      <c r="G1505" s="38"/>
      <c r="H1505" s="38"/>
      <c r="I1505" s="38"/>
      <c r="J1505" s="38"/>
      <c r="K1505" s="38"/>
      <c r="L1505" s="39"/>
      <c r="M1505" s="38"/>
      <c r="N1505" s="38"/>
      <c r="O1505" s="38"/>
      <c r="P1505" s="38"/>
      <c r="Q1505" s="38"/>
      <c r="R1505" s="38"/>
      <c r="S1505" s="38"/>
      <c r="BH1505" s="36"/>
    </row>
    <row r="1506" spans="3:60" x14ac:dyDescent="0.25">
      <c r="C1506" s="35"/>
      <c r="L1506" s="39"/>
      <c r="BH1506" s="36"/>
    </row>
    <row r="1507" spans="3:60" x14ac:dyDescent="0.25">
      <c r="C1507" s="35"/>
      <c r="G1507" s="38"/>
      <c r="H1507" s="38"/>
      <c r="I1507" s="38"/>
      <c r="J1507" s="38"/>
      <c r="K1507" s="38"/>
      <c r="L1507" s="39"/>
      <c r="M1507" s="38"/>
      <c r="N1507" s="38"/>
      <c r="O1507" s="38"/>
      <c r="P1507" s="38"/>
      <c r="Q1507" s="38"/>
      <c r="R1507" s="38"/>
      <c r="S1507" s="38"/>
      <c r="BH1507" s="36"/>
    </row>
    <row r="1508" spans="3:60" x14ac:dyDescent="0.25">
      <c r="C1508" s="35"/>
      <c r="L1508" s="39"/>
      <c r="BH1508" s="36"/>
    </row>
    <row r="1509" spans="3:60" x14ac:dyDescent="0.25">
      <c r="C1509" s="35"/>
      <c r="G1509" s="38"/>
      <c r="H1509" s="38"/>
      <c r="I1509" s="38"/>
      <c r="J1509" s="38"/>
      <c r="K1509" s="38"/>
      <c r="L1509" s="39"/>
      <c r="M1509" s="38"/>
      <c r="N1509" s="38"/>
      <c r="O1509" s="38"/>
      <c r="P1509" s="38"/>
      <c r="Q1509" s="38"/>
      <c r="R1509" s="38"/>
      <c r="S1509" s="38"/>
      <c r="BH1509" s="36"/>
    </row>
    <row r="1510" spans="3:60" x14ac:dyDescent="0.25">
      <c r="C1510" s="35"/>
      <c r="L1510" s="39"/>
      <c r="BH1510" s="36"/>
    </row>
    <row r="1511" spans="3:60" x14ac:dyDescent="0.25">
      <c r="C1511" s="35"/>
      <c r="G1511" s="38"/>
      <c r="H1511" s="38"/>
      <c r="I1511" s="38"/>
      <c r="J1511" s="38"/>
      <c r="K1511" s="38"/>
      <c r="L1511" s="39"/>
      <c r="M1511" s="38"/>
      <c r="N1511" s="38"/>
      <c r="O1511" s="38"/>
      <c r="P1511" s="38"/>
      <c r="Q1511" s="38"/>
      <c r="R1511" s="38"/>
      <c r="S1511" s="38"/>
      <c r="BH1511" s="36"/>
    </row>
    <row r="1512" spans="3:60" x14ac:dyDescent="0.25">
      <c r="C1512" s="35"/>
      <c r="L1512" s="39"/>
      <c r="BH1512" s="36"/>
    </row>
    <row r="1513" spans="3:60" x14ac:dyDescent="0.25">
      <c r="C1513" s="35"/>
      <c r="G1513" s="38"/>
      <c r="H1513" s="38"/>
      <c r="I1513" s="38"/>
      <c r="J1513" s="38"/>
      <c r="K1513" s="38"/>
      <c r="L1513" s="39"/>
      <c r="M1513" s="38"/>
      <c r="N1513" s="38"/>
      <c r="O1513" s="38"/>
      <c r="P1513" s="38"/>
      <c r="Q1513" s="38"/>
      <c r="R1513" s="38"/>
      <c r="S1513" s="38"/>
      <c r="BH1513" s="36"/>
    </row>
    <row r="1514" spans="3:60" x14ac:dyDescent="0.25">
      <c r="C1514" s="35"/>
      <c r="L1514" s="39"/>
      <c r="BH1514" s="36"/>
    </row>
    <row r="1515" spans="3:60" x14ac:dyDescent="0.25">
      <c r="C1515" s="35"/>
      <c r="G1515" s="38"/>
      <c r="H1515" s="38"/>
      <c r="I1515" s="38"/>
      <c r="J1515" s="38"/>
      <c r="K1515" s="38"/>
      <c r="L1515" s="39"/>
      <c r="M1515" s="38"/>
      <c r="N1515" s="38"/>
      <c r="O1515" s="38"/>
      <c r="P1515" s="38"/>
      <c r="Q1515" s="38"/>
      <c r="R1515" s="38"/>
      <c r="S1515" s="38"/>
      <c r="BH1515" s="36"/>
    </row>
    <row r="1516" spans="3:60" x14ac:dyDescent="0.25">
      <c r="C1516" s="35"/>
      <c r="L1516" s="39"/>
      <c r="BH1516" s="36"/>
    </row>
    <row r="1517" spans="3:60" x14ac:dyDescent="0.25">
      <c r="C1517" s="35"/>
      <c r="G1517" s="38"/>
      <c r="H1517" s="38"/>
      <c r="I1517" s="38"/>
      <c r="J1517" s="38"/>
      <c r="K1517" s="38"/>
      <c r="L1517" s="39"/>
      <c r="M1517" s="38"/>
      <c r="N1517" s="38"/>
      <c r="O1517" s="38"/>
      <c r="P1517" s="38"/>
      <c r="Q1517" s="38"/>
      <c r="R1517" s="38"/>
      <c r="S1517" s="38"/>
      <c r="BH1517" s="36"/>
    </row>
    <row r="1518" spans="3:60" x14ac:dyDescent="0.25">
      <c r="C1518" s="35"/>
      <c r="L1518" s="39"/>
      <c r="BH1518" s="36"/>
    </row>
    <row r="1519" spans="3:60" x14ac:dyDescent="0.25">
      <c r="C1519" s="35"/>
      <c r="G1519" s="38"/>
      <c r="H1519" s="38"/>
      <c r="I1519" s="38"/>
      <c r="J1519" s="38"/>
      <c r="K1519" s="38"/>
      <c r="L1519" s="39"/>
      <c r="M1519" s="38"/>
      <c r="N1519" s="38"/>
      <c r="O1519" s="38"/>
      <c r="P1519" s="38"/>
      <c r="Q1519" s="38"/>
      <c r="R1519" s="38"/>
      <c r="S1519" s="38"/>
      <c r="BH1519" s="36"/>
    </row>
    <row r="1520" spans="3:60" x14ac:dyDescent="0.25">
      <c r="C1520" s="35"/>
      <c r="L1520" s="39"/>
      <c r="BH1520" s="36"/>
    </row>
    <row r="1521" spans="3:60" x14ac:dyDescent="0.25">
      <c r="C1521" s="35"/>
      <c r="G1521" s="38"/>
      <c r="H1521" s="38"/>
      <c r="I1521" s="38"/>
      <c r="J1521" s="38"/>
      <c r="K1521" s="38"/>
      <c r="L1521" s="39"/>
      <c r="M1521" s="38"/>
      <c r="N1521" s="38"/>
      <c r="O1521" s="38"/>
      <c r="P1521" s="38"/>
      <c r="Q1521" s="38"/>
      <c r="R1521" s="38"/>
      <c r="S1521" s="38"/>
      <c r="BH1521" s="36"/>
    </row>
    <row r="1522" spans="3:60" x14ac:dyDescent="0.25">
      <c r="C1522" s="35"/>
      <c r="L1522" s="39"/>
      <c r="BH1522" s="36"/>
    </row>
    <row r="1523" spans="3:60" x14ac:dyDescent="0.25">
      <c r="C1523" s="35"/>
      <c r="G1523" s="38"/>
      <c r="H1523" s="38"/>
      <c r="I1523" s="38"/>
      <c r="J1523" s="38"/>
      <c r="K1523" s="38"/>
      <c r="L1523" s="39"/>
      <c r="M1523" s="38"/>
      <c r="N1523" s="38"/>
      <c r="O1523" s="38"/>
      <c r="P1523" s="38"/>
      <c r="Q1523" s="38"/>
      <c r="R1523" s="38"/>
      <c r="S1523" s="38"/>
      <c r="BH1523" s="36"/>
    </row>
    <row r="1524" spans="3:60" x14ac:dyDescent="0.25">
      <c r="C1524" s="35"/>
      <c r="L1524" s="39"/>
      <c r="BH1524" s="36"/>
    </row>
    <row r="1525" spans="3:60" x14ac:dyDescent="0.25">
      <c r="C1525" s="35"/>
      <c r="G1525" s="38"/>
      <c r="H1525" s="38"/>
      <c r="I1525" s="38"/>
      <c r="J1525" s="38"/>
      <c r="K1525" s="38"/>
      <c r="L1525" s="39"/>
      <c r="M1525" s="38"/>
      <c r="N1525" s="38"/>
      <c r="O1525" s="38"/>
      <c r="P1525" s="38"/>
      <c r="Q1525" s="38"/>
      <c r="R1525" s="38"/>
      <c r="S1525" s="38"/>
      <c r="BH1525" s="36"/>
    </row>
    <row r="1526" spans="3:60" x14ac:dyDescent="0.25">
      <c r="C1526" s="35"/>
      <c r="L1526" s="39"/>
      <c r="BH1526" s="36"/>
    </row>
    <row r="1527" spans="3:60" x14ac:dyDescent="0.25">
      <c r="C1527" s="35"/>
      <c r="G1527" s="38"/>
      <c r="H1527" s="38"/>
      <c r="I1527" s="38"/>
      <c r="J1527" s="38"/>
      <c r="K1527" s="38"/>
      <c r="L1527" s="39"/>
      <c r="M1527" s="38"/>
      <c r="N1527" s="38"/>
      <c r="O1527" s="38"/>
      <c r="P1527" s="38"/>
      <c r="Q1527" s="38"/>
      <c r="R1527" s="38"/>
      <c r="S1527" s="38"/>
      <c r="BH1527" s="36"/>
    </row>
    <row r="1528" spans="3:60" x14ac:dyDescent="0.25">
      <c r="C1528" s="35"/>
      <c r="L1528" s="39"/>
      <c r="BH1528" s="36"/>
    </row>
    <row r="1529" spans="3:60" x14ac:dyDescent="0.25">
      <c r="C1529" s="35"/>
      <c r="G1529" s="38"/>
      <c r="H1529" s="38"/>
      <c r="I1529" s="38"/>
      <c r="J1529" s="38"/>
      <c r="K1529" s="38"/>
      <c r="L1529" s="39"/>
      <c r="M1529" s="38"/>
      <c r="N1529" s="38"/>
      <c r="O1529" s="38"/>
      <c r="P1529" s="38"/>
      <c r="Q1529" s="38"/>
      <c r="R1529" s="38"/>
      <c r="S1529" s="38"/>
      <c r="BH1529" s="36"/>
    </row>
    <row r="1530" spans="3:60" x14ac:dyDescent="0.25">
      <c r="C1530" s="35"/>
      <c r="L1530" s="39"/>
      <c r="BH1530" s="36"/>
    </row>
    <row r="1531" spans="3:60" x14ac:dyDescent="0.25">
      <c r="C1531" s="35"/>
      <c r="G1531" s="38"/>
      <c r="H1531" s="38"/>
      <c r="I1531" s="38"/>
      <c r="J1531" s="38"/>
      <c r="K1531" s="38"/>
      <c r="L1531" s="39"/>
      <c r="M1531" s="38"/>
      <c r="N1531" s="38"/>
      <c r="O1531" s="38"/>
      <c r="P1531" s="38"/>
      <c r="Q1531" s="38"/>
      <c r="R1531" s="38"/>
      <c r="S1531" s="38"/>
      <c r="BH1531" s="36"/>
    </row>
    <row r="1532" spans="3:60" x14ac:dyDescent="0.25">
      <c r="C1532" s="35"/>
      <c r="L1532" s="39"/>
      <c r="BH1532" s="36"/>
    </row>
    <row r="1533" spans="3:60" x14ac:dyDescent="0.25">
      <c r="C1533" s="35"/>
      <c r="G1533" s="38"/>
      <c r="H1533" s="38"/>
      <c r="I1533" s="38"/>
      <c r="J1533" s="38"/>
      <c r="K1533" s="38"/>
      <c r="L1533" s="39"/>
      <c r="M1533" s="38"/>
      <c r="N1533" s="38"/>
      <c r="O1533" s="38"/>
      <c r="P1533" s="38"/>
      <c r="Q1533" s="38"/>
      <c r="R1533" s="38"/>
      <c r="S1533" s="38"/>
      <c r="BH1533" s="36"/>
    </row>
    <row r="1534" spans="3:60" x14ac:dyDescent="0.25">
      <c r="C1534" s="35"/>
      <c r="L1534" s="39"/>
      <c r="BH1534" s="36"/>
    </row>
    <row r="1535" spans="3:60" x14ac:dyDescent="0.25">
      <c r="C1535" s="35"/>
      <c r="G1535" s="38"/>
      <c r="H1535" s="38"/>
      <c r="I1535" s="38"/>
      <c r="J1535" s="38"/>
      <c r="K1535" s="38"/>
      <c r="L1535" s="39"/>
      <c r="M1535" s="38"/>
      <c r="N1535" s="38"/>
      <c r="O1535" s="38"/>
      <c r="P1535" s="38"/>
      <c r="Q1535" s="38"/>
      <c r="R1535" s="38"/>
      <c r="S1535" s="38"/>
      <c r="BH1535" s="36"/>
    </row>
    <row r="1536" spans="3:60" x14ac:dyDescent="0.25">
      <c r="C1536" s="35"/>
      <c r="L1536" s="39"/>
      <c r="BH1536" s="36"/>
    </row>
    <row r="1537" spans="3:60" x14ac:dyDescent="0.25">
      <c r="C1537" s="35"/>
      <c r="G1537" s="38"/>
      <c r="H1537" s="38"/>
      <c r="I1537" s="38"/>
      <c r="J1537" s="38"/>
      <c r="K1537" s="38"/>
      <c r="L1537" s="39"/>
      <c r="M1537" s="38"/>
      <c r="N1537" s="38"/>
      <c r="O1537" s="38"/>
      <c r="P1537" s="38"/>
      <c r="Q1537" s="38"/>
      <c r="R1537" s="38"/>
      <c r="S1537" s="38"/>
      <c r="BH1537" s="36"/>
    </row>
    <row r="1538" spans="3:60" x14ac:dyDescent="0.25">
      <c r="C1538" s="35"/>
      <c r="L1538" s="39"/>
      <c r="BH1538" s="36"/>
    </row>
    <row r="1539" spans="3:60" x14ac:dyDescent="0.25">
      <c r="C1539" s="35"/>
      <c r="G1539" s="38"/>
      <c r="H1539" s="38"/>
      <c r="I1539" s="38"/>
      <c r="J1539" s="38"/>
      <c r="K1539" s="38"/>
      <c r="L1539" s="39"/>
      <c r="M1539" s="38"/>
      <c r="N1539" s="38"/>
      <c r="O1539" s="38"/>
      <c r="P1539" s="38"/>
      <c r="Q1539" s="38"/>
      <c r="R1539" s="38"/>
      <c r="S1539" s="38"/>
      <c r="BH1539" s="36"/>
    </row>
    <row r="1540" spans="3:60" x14ac:dyDescent="0.25">
      <c r="C1540" s="35"/>
      <c r="L1540" s="39"/>
      <c r="BH1540" s="36"/>
    </row>
    <row r="1541" spans="3:60" x14ac:dyDescent="0.25">
      <c r="C1541" s="35"/>
      <c r="G1541" s="38"/>
      <c r="H1541" s="38"/>
      <c r="I1541" s="38"/>
      <c r="J1541" s="38"/>
      <c r="K1541" s="38"/>
      <c r="L1541" s="39"/>
      <c r="M1541" s="38"/>
      <c r="N1541" s="38"/>
      <c r="O1541" s="38"/>
      <c r="P1541" s="38"/>
      <c r="Q1541" s="38"/>
      <c r="R1541" s="38"/>
      <c r="S1541" s="38"/>
      <c r="BH1541" s="36"/>
    </row>
    <row r="1542" spans="3:60" x14ac:dyDescent="0.25">
      <c r="C1542" s="35"/>
      <c r="L1542" s="39"/>
      <c r="BH1542" s="36"/>
    </row>
    <row r="1543" spans="3:60" x14ac:dyDescent="0.25">
      <c r="C1543" s="35"/>
      <c r="G1543" s="38"/>
      <c r="H1543" s="38"/>
      <c r="I1543" s="38"/>
      <c r="J1543" s="38"/>
      <c r="K1543" s="38"/>
      <c r="L1543" s="39"/>
      <c r="M1543" s="38"/>
      <c r="N1543" s="38"/>
      <c r="O1543" s="38"/>
      <c r="P1543" s="38"/>
      <c r="Q1543" s="38"/>
      <c r="R1543" s="38"/>
      <c r="S1543" s="38"/>
      <c r="BH1543" s="36"/>
    </row>
    <row r="1544" spans="3:60" x14ac:dyDescent="0.25">
      <c r="C1544" s="35"/>
      <c r="L1544" s="39"/>
      <c r="BH1544" s="36"/>
    </row>
    <row r="1545" spans="3:60" x14ac:dyDescent="0.25">
      <c r="C1545" s="35"/>
      <c r="G1545" s="38"/>
      <c r="H1545" s="38"/>
      <c r="I1545" s="38"/>
      <c r="J1545" s="38"/>
      <c r="K1545" s="38"/>
      <c r="L1545" s="39"/>
      <c r="M1545" s="38"/>
      <c r="N1545" s="38"/>
      <c r="O1545" s="38"/>
      <c r="P1545" s="38"/>
      <c r="Q1545" s="38"/>
      <c r="R1545" s="38"/>
      <c r="S1545" s="38"/>
      <c r="BH1545" s="36"/>
    </row>
    <row r="1546" spans="3:60" x14ac:dyDescent="0.25">
      <c r="C1546" s="35"/>
      <c r="L1546" s="39"/>
      <c r="BH1546" s="36"/>
    </row>
    <row r="1547" spans="3:60" x14ac:dyDescent="0.25">
      <c r="C1547" s="35"/>
      <c r="G1547" s="38"/>
      <c r="H1547" s="38"/>
      <c r="I1547" s="38"/>
      <c r="J1547" s="38"/>
      <c r="K1547" s="38"/>
      <c r="L1547" s="39"/>
      <c r="M1547" s="38"/>
      <c r="N1547" s="38"/>
      <c r="O1547" s="38"/>
      <c r="P1547" s="38"/>
      <c r="Q1547" s="38"/>
      <c r="R1547" s="38"/>
      <c r="S1547" s="38"/>
      <c r="BH1547" s="36"/>
    </row>
    <row r="1548" spans="3:60" x14ac:dyDescent="0.25">
      <c r="C1548" s="35"/>
      <c r="L1548" s="39"/>
      <c r="BH1548" s="36"/>
    </row>
    <row r="1549" spans="3:60" x14ac:dyDescent="0.25">
      <c r="C1549" s="35"/>
      <c r="G1549" s="38"/>
      <c r="H1549" s="38"/>
      <c r="I1549" s="38"/>
      <c r="J1549" s="38"/>
      <c r="K1549" s="38"/>
      <c r="L1549" s="39"/>
      <c r="M1549" s="38"/>
      <c r="N1549" s="38"/>
      <c r="O1549" s="38"/>
      <c r="P1549" s="38"/>
      <c r="Q1549" s="38"/>
      <c r="R1549" s="38"/>
      <c r="S1549" s="38"/>
      <c r="BH1549" s="36"/>
    </row>
    <row r="1550" spans="3:60" x14ac:dyDescent="0.25">
      <c r="C1550" s="35"/>
      <c r="L1550" s="39"/>
      <c r="BH1550" s="36"/>
    </row>
    <row r="1551" spans="3:60" x14ac:dyDescent="0.25">
      <c r="C1551" s="35"/>
      <c r="G1551" s="38"/>
      <c r="H1551" s="38"/>
      <c r="I1551" s="38"/>
      <c r="J1551" s="38"/>
      <c r="K1551" s="38"/>
      <c r="L1551" s="39"/>
      <c r="M1551" s="38"/>
      <c r="N1551" s="38"/>
      <c r="O1551" s="38"/>
      <c r="P1551" s="38"/>
      <c r="Q1551" s="38"/>
      <c r="R1551" s="38"/>
      <c r="S1551" s="38"/>
      <c r="BH1551" s="36"/>
    </row>
    <row r="1552" spans="3:60" x14ac:dyDescent="0.25">
      <c r="C1552" s="35"/>
      <c r="L1552" s="39"/>
      <c r="BH1552" s="36"/>
    </row>
    <row r="1553" spans="3:60" x14ac:dyDescent="0.25">
      <c r="C1553" s="35"/>
      <c r="G1553" s="38"/>
      <c r="H1553" s="38"/>
      <c r="I1553" s="38"/>
      <c r="J1553" s="38"/>
      <c r="K1553" s="38"/>
      <c r="L1553" s="39"/>
      <c r="M1553" s="38"/>
      <c r="N1553" s="38"/>
      <c r="O1553" s="38"/>
      <c r="P1553" s="38"/>
      <c r="Q1553" s="38"/>
      <c r="R1553" s="38"/>
      <c r="S1553" s="38"/>
      <c r="BH1553" s="36"/>
    </row>
    <row r="1554" spans="3:60" x14ac:dyDescent="0.25">
      <c r="C1554" s="35"/>
      <c r="L1554" s="39"/>
      <c r="BH1554" s="36"/>
    </row>
    <row r="1555" spans="3:60" x14ac:dyDescent="0.25">
      <c r="C1555" s="35"/>
      <c r="G1555" s="38"/>
      <c r="H1555" s="38"/>
      <c r="I1555" s="38"/>
      <c r="J1555" s="38"/>
      <c r="K1555" s="38"/>
      <c r="L1555" s="39"/>
      <c r="M1555" s="38"/>
      <c r="N1555" s="38"/>
      <c r="O1555" s="38"/>
      <c r="P1555" s="38"/>
      <c r="Q1555" s="38"/>
      <c r="R1555" s="38"/>
      <c r="S1555" s="38"/>
      <c r="BH1555" s="36"/>
    </row>
    <row r="1556" spans="3:60" x14ac:dyDescent="0.25">
      <c r="C1556" s="35"/>
      <c r="L1556" s="39"/>
      <c r="BH1556" s="36"/>
    </row>
    <row r="1557" spans="3:60" x14ac:dyDescent="0.25">
      <c r="C1557" s="35"/>
      <c r="G1557" s="38"/>
      <c r="H1557" s="38"/>
      <c r="I1557" s="38"/>
      <c r="J1557" s="38"/>
      <c r="K1557" s="38"/>
      <c r="L1557" s="39"/>
      <c r="M1557" s="38"/>
      <c r="N1557" s="38"/>
      <c r="O1557" s="38"/>
      <c r="P1557" s="38"/>
      <c r="Q1557" s="38"/>
      <c r="R1557" s="38"/>
      <c r="S1557" s="38"/>
      <c r="BH1557" s="36"/>
    </row>
    <row r="1558" spans="3:60" x14ac:dyDescent="0.25">
      <c r="C1558" s="35"/>
      <c r="L1558" s="39"/>
      <c r="BH1558" s="36"/>
    </row>
    <row r="1559" spans="3:60" x14ac:dyDescent="0.25">
      <c r="C1559" s="35"/>
      <c r="G1559" s="38"/>
      <c r="H1559" s="38"/>
      <c r="I1559" s="38"/>
      <c r="J1559" s="38"/>
      <c r="K1559" s="38"/>
      <c r="L1559" s="39"/>
      <c r="M1559" s="38"/>
      <c r="N1559" s="38"/>
      <c r="O1559" s="38"/>
      <c r="P1559" s="38"/>
      <c r="Q1559" s="38"/>
      <c r="R1559" s="38"/>
      <c r="S1559" s="38"/>
      <c r="BH1559" s="36"/>
    </row>
    <row r="1560" spans="3:60" x14ac:dyDescent="0.25">
      <c r="C1560" s="35"/>
      <c r="L1560" s="39"/>
      <c r="BH1560" s="36"/>
    </row>
    <row r="1561" spans="3:60" x14ac:dyDescent="0.25">
      <c r="C1561" s="35"/>
      <c r="G1561" s="38"/>
      <c r="H1561" s="38"/>
      <c r="I1561" s="38"/>
      <c r="J1561" s="38"/>
      <c r="K1561" s="38"/>
      <c r="L1561" s="39"/>
      <c r="M1561" s="38"/>
      <c r="N1561" s="38"/>
      <c r="O1561" s="38"/>
      <c r="P1561" s="38"/>
      <c r="Q1561" s="38"/>
      <c r="R1561" s="38"/>
      <c r="S1561" s="38"/>
      <c r="BH1561" s="36"/>
    </row>
    <row r="1562" spans="3:60" x14ac:dyDescent="0.25">
      <c r="C1562" s="35"/>
      <c r="L1562" s="39"/>
      <c r="BH1562" s="36"/>
    </row>
    <row r="1563" spans="3:60" x14ac:dyDescent="0.25">
      <c r="C1563" s="35"/>
      <c r="G1563" s="38"/>
      <c r="H1563" s="38"/>
      <c r="I1563" s="38"/>
      <c r="J1563" s="38"/>
      <c r="K1563" s="38"/>
      <c r="L1563" s="39"/>
      <c r="M1563" s="38"/>
      <c r="N1563" s="38"/>
      <c r="O1563" s="38"/>
      <c r="P1563" s="38"/>
      <c r="Q1563" s="38"/>
      <c r="R1563" s="38"/>
      <c r="S1563" s="38"/>
      <c r="BH1563" s="36"/>
    </row>
    <row r="1564" spans="3:60" x14ac:dyDescent="0.25">
      <c r="C1564" s="35"/>
      <c r="L1564" s="39"/>
      <c r="BH1564" s="36"/>
    </row>
    <row r="1565" spans="3:60" x14ac:dyDescent="0.25">
      <c r="C1565" s="35"/>
      <c r="G1565" s="38"/>
      <c r="H1565" s="38"/>
      <c r="I1565" s="38"/>
      <c r="J1565" s="38"/>
      <c r="K1565" s="38"/>
      <c r="L1565" s="39"/>
      <c r="M1565" s="38"/>
      <c r="N1565" s="38"/>
      <c r="O1565" s="38"/>
      <c r="P1565" s="38"/>
      <c r="Q1565" s="38"/>
      <c r="R1565" s="38"/>
      <c r="S1565" s="38"/>
      <c r="BH1565" s="36"/>
    </row>
    <row r="1566" spans="3:60" x14ac:dyDescent="0.25">
      <c r="L1566" s="39"/>
    </row>
    <row r="1567" spans="3:60" x14ac:dyDescent="0.25">
      <c r="G1567" s="38"/>
      <c r="H1567" s="38"/>
      <c r="I1567" s="38"/>
      <c r="J1567" s="38"/>
      <c r="K1567" s="38"/>
      <c r="L1567" s="39"/>
      <c r="M1567" s="38"/>
      <c r="N1567" s="38"/>
      <c r="O1567" s="38"/>
      <c r="P1567" s="38"/>
      <c r="Q1567" s="38"/>
      <c r="R1567" s="38"/>
      <c r="S1567" s="38"/>
    </row>
    <row r="1568" spans="3:60" x14ac:dyDescent="0.25">
      <c r="L1568" s="39"/>
    </row>
    <row r="1569" spans="7:19" x14ac:dyDescent="0.25">
      <c r="G1569" s="38"/>
      <c r="H1569" s="38"/>
      <c r="I1569" s="38"/>
      <c r="J1569" s="38"/>
      <c r="K1569" s="38"/>
      <c r="L1569" s="39"/>
      <c r="M1569" s="38"/>
      <c r="N1569" s="38"/>
      <c r="O1569" s="38"/>
      <c r="P1569" s="38"/>
      <c r="Q1569" s="38"/>
      <c r="R1569" s="38"/>
      <c r="S1569" s="38"/>
    </row>
    <row r="1570" spans="7:19" x14ac:dyDescent="0.25">
      <c r="L1570" s="39"/>
    </row>
    <row r="1571" spans="7:19" x14ac:dyDescent="0.25">
      <c r="G1571" s="38"/>
      <c r="H1571" s="38"/>
      <c r="I1571" s="38"/>
      <c r="J1571" s="38"/>
      <c r="K1571" s="38"/>
      <c r="L1571" s="39"/>
      <c r="M1571" s="38"/>
      <c r="N1571" s="38"/>
      <c r="O1571" s="38"/>
      <c r="P1571" s="38"/>
      <c r="Q1571" s="38"/>
      <c r="R1571" s="38"/>
      <c r="S1571" s="38"/>
    </row>
    <row r="1572" spans="7:19" x14ac:dyDescent="0.25">
      <c r="L1572" s="39"/>
    </row>
    <row r="1573" spans="7:19" x14ac:dyDescent="0.25">
      <c r="G1573" s="38"/>
      <c r="H1573" s="38"/>
      <c r="I1573" s="38"/>
      <c r="J1573" s="38"/>
      <c r="K1573" s="38"/>
      <c r="L1573" s="39"/>
      <c r="M1573" s="38"/>
      <c r="N1573" s="38"/>
      <c r="O1573" s="38"/>
      <c r="P1573" s="38"/>
      <c r="Q1573" s="38"/>
      <c r="R1573" s="38"/>
      <c r="S1573" s="38"/>
    </row>
    <row r="1574" spans="7:19" x14ac:dyDescent="0.25">
      <c r="L1574" s="39"/>
    </row>
    <row r="1575" spans="7:19" x14ac:dyDescent="0.25">
      <c r="G1575" s="38"/>
      <c r="H1575" s="38"/>
      <c r="I1575" s="38"/>
      <c r="J1575" s="38"/>
      <c r="K1575" s="38"/>
      <c r="L1575" s="39"/>
      <c r="M1575" s="38"/>
      <c r="N1575" s="38"/>
      <c r="O1575" s="38"/>
      <c r="P1575" s="38"/>
      <c r="Q1575" s="38"/>
      <c r="R1575" s="38"/>
      <c r="S1575" s="38"/>
    </row>
    <row r="1576" spans="7:19" x14ac:dyDescent="0.25">
      <c r="L1576" s="39"/>
    </row>
    <row r="1577" spans="7:19" x14ac:dyDescent="0.25">
      <c r="G1577" s="38"/>
      <c r="H1577" s="38"/>
      <c r="I1577" s="38"/>
      <c r="J1577" s="38"/>
      <c r="K1577" s="38"/>
      <c r="L1577" s="39"/>
      <c r="M1577" s="38"/>
      <c r="N1577" s="38"/>
      <c r="O1577" s="38"/>
      <c r="P1577" s="38"/>
      <c r="Q1577" s="38"/>
      <c r="R1577" s="38"/>
      <c r="S1577" s="38"/>
    </row>
    <row r="1578" spans="7:19" x14ac:dyDescent="0.25">
      <c r="L1578" s="39"/>
    </row>
    <row r="1579" spans="7:19" x14ac:dyDescent="0.25">
      <c r="G1579" s="38"/>
      <c r="H1579" s="38"/>
      <c r="I1579" s="38"/>
      <c r="J1579" s="38"/>
      <c r="K1579" s="38"/>
      <c r="L1579" s="39"/>
      <c r="M1579" s="38"/>
      <c r="N1579" s="38"/>
      <c r="O1579" s="38"/>
      <c r="P1579" s="38"/>
      <c r="Q1579" s="38"/>
      <c r="R1579" s="38"/>
      <c r="S1579" s="38"/>
    </row>
    <row r="1580" spans="7:19" x14ac:dyDescent="0.25">
      <c r="L1580" s="39"/>
    </row>
    <row r="1581" spans="7:19" x14ac:dyDescent="0.25">
      <c r="G1581" s="38"/>
      <c r="H1581" s="38"/>
      <c r="I1581" s="38"/>
      <c r="J1581" s="38"/>
      <c r="K1581" s="38"/>
      <c r="L1581" s="39"/>
      <c r="M1581" s="38"/>
      <c r="N1581" s="38"/>
      <c r="O1581" s="38"/>
      <c r="P1581" s="38"/>
      <c r="Q1581" s="38"/>
      <c r="R1581" s="38"/>
      <c r="S1581" s="38"/>
    </row>
    <row r="1582" spans="7:19" x14ac:dyDescent="0.25">
      <c r="L1582" s="39"/>
    </row>
    <row r="1583" spans="7:19" x14ac:dyDescent="0.25">
      <c r="G1583" s="38"/>
      <c r="H1583" s="38"/>
      <c r="I1583" s="38"/>
      <c r="J1583" s="38"/>
      <c r="K1583" s="38"/>
      <c r="L1583" s="39"/>
      <c r="M1583" s="38"/>
      <c r="N1583" s="38"/>
      <c r="O1583" s="38"/>
      <c r="P1583" s="38"/>
      <c r="Q1583" s="38"/>
      <c r="R1583" s="38"/>
      <c r="S1583" s="38"/>
    </row>
    <row r="1584" spans="7:19" x14ac:dyDescent="0.25">
      <c r="L1584" s="39"/>
    </row>
    <row r="1585" spans="7:19" x14ac:dyDescent="0.25">
      <c r="G1585" s="38"/>
      <c r="H1585" s="38"/>
      <c r="I1585" s="38"/>
      <c r="J1585" s="38"/>
      <c r="K1585" s="38"/>
      <c r="L1585" s="39"/>
      <c r="M1585" s="38"/>
      <c r="N1585" s="38"/>
      <c r="O1585" s="38"/>
      <c r="P1585" s="38"/>
      <c r="Q1585" s="38"/>
      <c r="R1585" s="38"/>
      <c r="S1585" s="38"/>
    </row>
    <row r="1586" spans="7:19" x14ac:dyDescent="0.25">
      <c r="L1586" s="39"/>
    </row>
    <row r="1587" spans="7:19" x14ac:dyDescent="0.25">
      <c r="G1587" s="38"/>
      <c r="H1587" s="38"/>
      <c r="I1587" s="38"/>
      <c r="J1587" s="38"/>
      <c r="K1587" s="38"/>
      <c r="L1587" s="39"/>
      <c r="M1587" s="38"/>
      <c r="N1587" s="38"/>
      <c r="O1587" s="38"/>
      <c r="P1587" s="38"/>
      <c r="Q1587" s="38"/>
      <c r="R1587" s="38"/>
      <c r="S1587" s="38"/>
    </row>
    <row r="1588" spans="7:19" x14ac:dyDescent="0.25">
      <c r="L1588" s="39"/>
    </row>
    <row r="1589" spans="7:19" x14ac:dyDescent="0.25">
      <c r="G1589" s="38"/>
      <c r="H1589" s="38"/>
      <c r="I1589" s="38"/>
      <c r="J1589" s="38"/>
      <c r="K1589" s="38"/>
      <c r="L1589" s="39"/>
      <c r="M1589" s="38"/>
      <c r="N1589" s="38"/>
      <c r="O1589" s="38"/>
      <c r="P1589" s="38"/>
      <c r="Q1589" s="38"/>
      <c r="R1589" s="38"/>
      <c r="S1589" s="38"/>
    </row>
    <row r="1590" spans="7:19" x14ac:dyDescent="0.25">
      <c r="L1590" s="39"/>
    </row>
    <row r="1591" spans="7:19" x14ac:dyDescent="0.25">
      <c r="G1591" s="38"/>
      <c r="H1591" s="38"/>
      <c r="I1591" s="38"/>
      <c r="J1591" s="38"/>
      <c r="K1591" s="38"/>
      <c r="L1591" s="39"/>
      <c r="M1591" s="38"/>
      <c r="N1591" s="38"/>
      <c r="O1591" s="38"/>
      <c r="P1591" s="38"/>
      <c r="Q1591" s="38"/>
      <c r="R1591" s="38"/>
      <c r="S1591" s="38"/>
    </row>
    <row r="1592" spans="7:19" x14ac:dyDescent="0.25">
      <c r="L1592" s="39"/>
    </row>
    <row r="1593" spans="7:19" x14ac:dyDescent="0.25">
      <c r="G1593" s="38"/>
      <c r="H1593" s="38"/>
      <c r="I1593" s="38"/>
      <c r="J1593" s="38"/>
      <c r="K1593" s="38"/>
      <c r="L1593" s="39"/>
      <c r="M1593" s="38"/>
      <c r="N1593" s="38"/>
      <c r="O1593" s="38"/>
      <c r="P1593" s="38"/>
      <c r="Q1593" s="38"/>
      <c r="R1593" s="38"/>
      <c r="S1593" s="38"/>
    </row>
    <row r="1594" spans="7:19" x14ac:dyDescent="0.25">
      <c r="L1594" s="39"/>
    </row>
    <row r="1595" spans="7:19" x14ac:dyDescent="0.25">
      <c r="G1595" s="38"/>
      <c r="H1595" s="38"/>
      <c r="I1595" s="38"/>
      <c r="J1595" s="38"/>
      <c r="K1595" s="38"/>
      <c r="L1595" s="39"/>
      <c r="M1595" s="38"/>
      <c r="N1595" s="38"/>
      <c r="O1595" s="38"/>
      <c r="P1595" s="38"/>
      <c r="Q1595" s="38"/>
      <c r="R1595" s="38"/>
      <c r="S1595" s="38"/>
    </row>
    <row r="1596" spans="7:19" x14ac:dyDescent="0.25">
      <c r="L1596" s="39"/>
    </row>
    <row r="1597" spans="7:19" x14ac:dyDescent="0.25">
      <c r="G1597" s="38"/>
      <c r="H1597" s="38"/>
      <c r="I1597" s="38"/>
      <c r="J1597" s="38"/>
      <c r="K1597" s="38"/>
      <c r="L1597" s="39"/>
      <c r="M1597" s="38"/>
      <c r="N1597" s="38"/>
      <c r="O1597" s="38"/>
      <c r="P1597" s="38"/>
      <c r="Q1597" s="38"/>
      <c r="R1597" s="38"/>
      <c r="S1597" s="38"/>
    </row>
    <row r="1598" spans="7:19" x14ac:dyDescent="0.25">
      <c r="L1598" s="39"/>
    </row>
    <row r="1599" spans="7:19" x14ac:dyDescent="0.25">
      <c r="G1599" s="38"/>
      <c r="H1599" s="38"/>
      <c r="I1599" s="38"/>
      <c r="J1599" s="38"/>
      <c r="K1599" s="38"/>
      <c r="L1599" s="39"/>
      <c r="M1599" s="38"/>
      <c r="N1599" s="38"/>
      <c r="O1599" s="38"/>
      <c r="P1599" s="38"/>
      <c r="Q1599" s="38"/>
      <c r="R1599" s="38"/>
      <c r="S1599" s="38"/>
    </row>
    <row r="1600" spans="7:19" x14ac:dyDescent="0.25">
      <c r="L1600" s="39"/>
    </row>
    <row r="1601" spans="7:19" x14ac:dyDescent="0.25">
      <c r="G1601" s="38"/>
      <c r="H1601" s="38"/>
      <c r="I1601" s="38"/>
      <c r="J1601" s="38"/>
      <c r="K1601" s="38"/>
      <c r="L1601" s="39"/>
      <c r="M1601" s="38"/>
      <c r="N1601" s="38"/>
      <c r="O1601" s="38"/>
      <c r="P1601" s="38"/>
      <c r="Q1601" s="38"/>
      <c r="R1601" s="38"/>
      <c r="S1601" s="38"/>
    </row>
    <row r="1602" spans="7:19" x14ac:dyDescent="0.25">
      <c r="L1602" s="39"/>
    </row>
    <row r="1603" spans="7:19" x14ac:dyDescent="0.25">
      <c r="G1603" s="38"/>
      <c r="H1603" s="38"/>
      <c r="I1603" s="38"/>
      <c r="J1603" s="38"/>
      <c r="K1603" s="38"/>
      <c r="L1603" s="39"/>
      <c r="M1603" s="38"/>
      <c r="N1603" s="38"/>
      <c r="O1603" s="38"/>
      <c r="P1603" s="38"/>
      <c r="Q1603" s="38"/>
      <c r="R1603" s="38"/>
      <c r="S1603" s="38"/>
    </row>
    <row r="1604" spans="7:19" x14ac:dyDescent="0.25">
      <c r="L1604" s="39"/>
    </row>
    <row r="1605" spans="7:19" x14ac:dyDescent="0.25">
      <c r="G1605" s="38"/>
      <c r="H1605" s="38"/>
      <c r="I1605" s="38"/>
      <c r="J1605" s="38"/>
      <c r="K1605" s="38"/>
      <c r="L1605" s="39"/>
      <c r="M1605" s="38"/>
      <c r="N1605" s="38"/>
      <c r="O1605" s="38"/>
      <c r="P1605" s="38"/>
      <c r="Q1605" s="38"/>
      <c r="R1605" s="38"/>
      <c r="S1605" s="38"/>
    </row>
    <row r="1606" spans="7:19" x14ac:dyDescent="0.25">
      <c r="L1606" s="39"/>
    </row>
    <row r="1607" spans="7:19" x14ac:dyDescent="0.25">
      <c r="G1607" s="38"/>
      <c r="H1607" s="38"/>
      <c r="I1607" s="38"/>
      <c r="J1607" s="38"/>
      <c r="K1607" s="38"/>
      <c r="L1607" s="39"/>
      <c r="M1607" s="38"/>
      <c r="N1607" s="38"/>
      <c r="O1607" s="38"/>
      <c r="P1607" s="38"/>
      <c r="Q1607" s="38"/>
      <c r="R1607" s="38"/>
      <c r="S1607" s="38"/>
    </row>
    <row r="1608" spans="7:19" x14ac:dyDescent="0.25">
      <c r="L1608" s="39"/>
    </row>
    <row r="1609" spans="7:19" x14ac:dyDescent="0.25">
      <c r="G1609" s="38"/>
      <c r="H1609" s="38"/>
      <c r="I1609" s="38"/>
      <c r="J1609" s="38"/>
      <c r="K1609" s="38"/>
      <c r="L1609" s="39"/>
      <c r="M1609" s="38"/>
      <c r="N1609" s="38"/>
      <c r="O1609" s="38"/>
      <c r="P1609" s="38"/>
      <c r="Q1609" s="38"/>
      <c r="R1609" s="38"/>
      <c r="S1609" s="38"/>
    </row>
    <row r="1610" spans="7:19" x14ac:dyDescent="0.25">
      <c r="L1610" s="39"/>
    </row>
    <row r="1611" spans="7:19" x14ac:dyDescent="0.25">
      <c r="G1611" s="38"/>
      <c r="H1611" s="38"/>
      <c r="I1611" s="38"/>
      <c r="J1611" s="38"/>
      <c r="K1611" s="38"/>
      <c r="L1611" s="39"/>
      <c r="M1611" s="38"/>
      <c r="N1611" s="38"/>
      <c r="O1611" s="38"/>
      <c r="P1611" s="38"/>
      <c r="Q1611" s="38"/>
      <c r="R1611" s="38"/>
      <c r="S1611" s="38"/>
    </row>
    <row r="1612" spans="7:19" x14ac:dyDescent="0.25">
      <c r="L1612" s="39"/>
    </row>
    <row r="1613" spans="7:19" x14ac:dyDescent="0.25">
      <c r="G1613" s="38"/>
      <c r="H1613" s="38"/>
      <c r="I1613" s="38"/>
      <c r="J1613" s="38"/>
      <c r="K1613" s="38"/>
      <c r="L1613" s="39"/>
      <c r="M1613" s="38"/>
      <c r="N1613" s="38"/>
      <c r="O1613" s="38"/>
      <c r="P1613" s="38"/>
      <c r="Q1613" s="38"/>
      <c r="R1613" s="38"/>
      <c r="S1613" s="38"/>
    </row>
    <row r="1614" spans="7:19" x14ac:dyDescent="0.25">
      <c r="L1614" s="39"/>
    </row>
    <row r="1615" spans="7:19" x14ac:dyDescent="0.25">
      <c r="G1615" s="38"/>
      <c r="H1615" s="38"/>
      <c r="I1615" s="38"/>
      <c r="J1615" s="38"/>
      <c r="K1615" s="38"/>
      <c r="L1615" s="39"/>
      <c r="M1615" s="38"/>
      <c r="N1615" s="38"/>
      <c r="O1615" s="38"/>
      <c r="P1615" s="38"/>
      <c r="Q1615" s="38"/>
      <c r="R1615" s="38"/>
      <c r="S1615" s="38"/>
    </row>
    <row r="1616" spans="7:19" x14ac:dyDescent="0.25">
      <c r="L1616" s="39"/>
    </row>
    <row r="1617" spans="7:19" x14ac:dyDescent="0.25">
      <c r="G1617" s="38"/>
      <c r="H1617" s="38"/>
      <c r="I1617" s="38"/>
      <c r="J1617" s="38"/>
      <c r="K1617" s="38"/>
      <c r="L1617" s="39"/>
      <c r="M1617" s="38"/>
      <c r="N1617" s="38"/>
      <c r="O1617" s="38"/>
      <c r="P1617" s="38"/>
      <c r="Q1617" s="38"/>
      <c r="R1617" s="38"/>
      <c r="S1617" s="38"/>
    </row>
    <row r="1618" spans="7:19" x14ac:dyDescent="0.25">
      <c r="L1618" s="39"/>
    </row>
    <row r="1619" spans="7:19" x14ac:dyDescent="0.25">
      <c r="G1619" s="38"/>
      <c r="H1619" s="38"/>
      <c r="I1619" s="38"/>
      <c r="J1619" s="38"/>
      <c r="K1619" s="38"/>
      <c r="L1619" s="39"/>
      <c r="M1619" s="38"/>
      <c r="N1619" s="38"/>
      <c r="O1619" s="38"/>
      <c r="P1619" s="38"/>
      <c r="Q1619" s="38"/>
      <c r="R1619" s="38"/>
      <c r="S1619" s="38"/>
    </row>
    <row r="1620" spans="7:19" x14ac:dyDescent="0.25">
      <c r="L1620" s="39"/>
    </row>
    <row r="1621" spans="7:19" x14ac:dyDescent="0.25">
      <c r="G1621" s="38"/>
      <c r="H1621" s="38"/>
      <c r="I1621" s="38"/>
      <c r="J1621" s="38"/>
      <c r="K1621" s="38"/>
      <c r="L1621" s="39"/>
      <c r="M1621" s="38"/>
      <c r="N1621" s="38"/>
      <c r="O1621" s="38"/>
      <c r="P1621" s="38"/>
      <c r="Q1621" s="38"/>
      <c r="R1621" s="38"/>
      <c r="S1621" s="38"/>
    </row>
    <row r="1622" spans="7:19" x14ac:dyDescent="0.25">
      <c r="L1622" s="39"/>
    </row>
    <row r="1623" spans="7:19" x14ac:dyDescent="0.25">
      <c r="G1623" s="38"/>
      <c r="H1623" s="38"/>
      <c r="I1623" s="38"/>
      <c r="J1623" s="38"/>
      <c r="K1623" s="38"/>
      <c r="L1623" s="39"/>
      <c r="M1623" s="38"/>
      <c r="N1623" s="38"/>
      <c r="O1623" s="38"/>
      <c r="P1623" s="38"/>
      <c r="Q1623" s="38"/>
      <c r="R1623" s="38"/>
      <c r="S1623" s="38"/>
    </row>
    <row r="1624" spans="7:19" x14ac:dyDescent="0.25">
      <c r="L1624" s="39"/>
    </row>
    <row r="1625" spans="7:19" x14ac:dyDescent="0.25">
      <c r="G1625" s="38"/>
      <c r="H1625" s="38"/>
      <c r="I1625" s="38"/>
      <c r="J1625" s="38"/>
      <c r="K1625" s="38"/>
      <c r="L1625" s="39"/>
      <c r="M1625" s="38"/>
      <c r="N1625" s="38"/>
      <c r="O1625" s="38"/>
      <c r="P1625" s="38"/>
      <c r="Q1625" s="38"/>
      <c r="R1625" s="38"/>
      <c r="S1625" s="38"/>
    </row>
    <row r="1626" spans="7:19" x14ac:dyDescent="0.25">
      <c r="L1626" s="39"/>
    </row>
    <row r="1627" spans="7:19" x14ac:dyDescent="0.25">
      <c r="G1627" s="38"/>
      <c r="H1627" s="38"/>
      <c r="I1627" s="38"/>
      <c r="J1627" s="38"/>
      <c r="K1627" s="38"/>
      <c r="L1627" s="39"/>
      <c r="M1627" s="38"/>
      <c r="N1627" s="38"/>
      <c r="O1627" s="38"/>
      <c r="P1627" s="38"/>
      <c r="Q1627" s="38"/>
      <c r="R1627" s="38"/>
      <c r="S1627" s="38"/>
    </row>
    <row r="1628" spans="7:19" x14ac:dyDescent="0.25">
      <c r="L1628" s="39"/>
    </row>
    <row r="1629" spans="7:19" x14ac:dyDescent="0.25">
      <c r="G1629" s="38"/>
      <c r="H1629" s="38"/>
      <c r="I1629" s="38"/>
      <c r="J1629" s="38"/>
      <c r="K1629" s="38"/>
      <c r="L1629" s="39"/>
      <c r="M1629" s="38"/>
      <c r="N1629" s="38"/>
      <c r="O1629" s="38"/>
      <c r="P1629" s="38"/>
      <c r="Q1629" s="38"/>
      <c r="R1629" s="38"/>
      <c r="S1629" s="38"/>
    </row>
    <row r="1630" spans="7:19" x14ac:dyDescent="0.25">
      <c r="L1630" s="39"/>
    </row>
    <row r="1631" spans="7:19" x14ac:dyDescent="0.25">
      <c r="G1631" s="38"/>
      <c r="H1631" s="38"/>
      <c r="I1631" s="38"/>
      <c r="J1631" s="38"/>
      <c r="K1631" s="38"/>
      <c r="L1631" s="39"/>
      <c r="M1631" s="38"/>
      <c r="N1631" s="38"/>
      <c r="O1631" s="38"/>
      <c r="P1631" s="38"/>
      <c r="Q1631" s="38"/>
      <c r="R1631" s="38"/>
      <c r="S1631" s="38"/>
    </row>
    <row r="1632" spans="7:19" x14ac:dyDescent="0.25">
      <c r="L1632" s="39"/>
    </row>
    <row r="1633" spans="7:19" x14ac:dyDescent="0.25">
      <c r="G1633" s="38"/>
      <c r="H1633" s="38"/>
      <c r="I1633" s="38"/>
      <c r="J1633" s="38"/>
      <c r="K1633" s="38"/>
      <c r="L1633" s="39"/>
      <c r="M1633" s="38"/>
      <c r="N1633" s="38"/>
      <c r="O1633" s="38"/>
      <c r="P1633" s="38"/>
      <c r="Q1633" s="38"/>
      <c r="R1633" s="38"/>
      <c r="S1633" s="38"/>
    </row>
    <row r="1634" spans="7:19" x14ac:dyDescent="0.25">
      <c r="L1634" s="39"/>
    </row>
    <row r="1635" spans="7:19" x14ac:dyDescent="0.25">
      <c r="G1635" s="38"/>
      <c r="H1635" s="38"/>
      <c r="I1635" s="38"/>
      <c r="J1635" s="38"/>
      <c r="K1635" s="38"/>
      <c r="L1635" s="39"/>
      <c r="M1635" s="38"/>
      <c r="N1635" s="38"/>
      <c r="O1635" s="38"/>
      <c r="P1635" s="38"/>
      <c r="Q1635" s="38"/>
      <c r="R1635" s="38"/>
      <c r="S1635" s="38"/>
    </row>
    <row r="1636" spans="7:19" x14ac:dyDescent="0.25">
      <c r="L1636" s="39"/>
    </row>
    <row r="1637" spans="7:19" x14ac:dyDescent="0.25">
      <c r="G1637" s="38"/>
      <c r="H1637" s="38"/>
      <c r="I1637" s="38"/>
      <c r="J1637" s="38"/>
      <c r="K1637" s="38"/>
      <c r="L1637" s="39"/>
      <c r="M1637" s="38"/>
      <c r="N1637" s="38"/>
      <c r="O1637" s="38"/>
      <c r="P1637" s="38"/>
      <c r="Q1637" s="38"/>
      <c r="R1637" s="38"/>
      <c r="S1637" s="38"/>
    </row>
    <row r="1638" spans="7:19" x14ac:dyDescent="0.25">
      <c r="L1638" s="39"/>
    </row>
    <row r="1639" spans="7:19" x14ac:dyDescent="0.25">
      <c r="G1639" s="38"/>
      <c r="H1639" s="38"/>
      <c r="I1639" s="38"/>
      <c r="J1639" s="38"/>
      <c r="K1639" s="38"/>
      <c r="L1639" s="39"/>
      <c r="M1639" s="38"/>
      <c r="N1639" s="38"/>
      <c r="O1639" s="38"/>
      <c r="P1639" s="38"/>
      <c r="Q1639" s="38"/>
      <c r="R1639" s="38"/>
      <c r="S1639" s="38"/>
    </row>
    <row r="1640" spans="7:19" x14ac:dyDescent="0.25">
      <c r="L1640" s="39"/>
    </row>
    <row r="1641" spans="7:19" x14ac:dyDescent="0.25">
      <c r="G1641" s="38"/>
      <c r="H1641" s="38"/>
      <c r="I1641" s="38"/>
      <c r="J1641" s="38"/>
      <c r="K1641" s="38"/>
      <c r="L1641" s="39"/>
      <c r="M1641" s="38"/>
      <c r="N1641" s="38"/>
      <c r="O1641" s="38"/>
      <c r="P1641" s="38"/>
      <c r="Q1641" s="38"/>
      <c r="R1641" s="38"/>
      <c r="S1641" s="38"/>
    </row>
    <row r="1642" spans="7:19" x14ac:dyDescent="0.25">
      <c r="L1642" s="39"/>
    </row>
    <row r="1643" spans="7:19" x14ac:dyDescent="0.25">
      <c r="G1643" s="38"/>
      <c r="H1643" s="38"/>
      <c r="I1643" s="38"/>
      <c r="J1643" s="38"/>
      <c r="K1643" s="38"/>
      <c r="L1643" s="39"/>
      <c r="M1643" s="38"/>
      <c r="N1643" s="38"/>
      <c r="O1643" s="38"/>
      <c r="P1643" s="38"/>
      <c r="Q1643" s="38"/>
      <c r="R1643" s="38"/>
      <c r="S1643" s="38"/>
    </row>
    <row r="1644" spans="7:19" x14ac:dyDescent="0.25">
      <c r="L1644" s="39"/>
    </row>
    <row r="1645" spans="7:19" x14ac:dyDescent="0.25">
      <c r="G1645" s="38"/>
      <c r="H1645" s="38"/>
      <c r="I1645" s="38"/>
      <c r="J1645" s="38"/>
      <c r="K1645" s="38"/>
      <c r="L1645" s="39"/>
      <c r="M1645" s="38"/>
      <c r="N1645" s="38"/>
      <c r="O1645" s="38"/>
      <c r="P1645" s="38"/>
      <c r="Q1645" s="38"/>
      <c r="R1645" s="38"/>
      <c r="S1645" s="38"/>
    </row>
    <row r="1646" spans="7:19" x14ac:dyDescent="0.25">
      <c r="L1646" s="39"/>
    </row>
    <row r="1647" spans="7:19" x14ac:dyDescent="0.25">
      <c r="G1647" s="38"/>
      <c r="H1647" s="38"/>
      <c r="I1647" s="38"/>
      <c r="J1647" s="38"/>
      <c r="K1647" s="38"/>
      <c r="L1647" s="39"/>
      <c r="M1647" s="38"/>
      <c r="N1647" s="38"/>
      <c r="O1647" s="38"/>
      <c r="P1647" s="38"/>
      <c r="Q1647" s="38"/>
      <c r="R1647" s="38"/>
      <c r="S1647" s="38"/>
    </row>
    <row r="1648" spans="7:19" x14ac:dyDescent="0.25">
      <c r="L1648" s="39"/>
    </row>
    <row r="1649" spans="7:19" x14ac:dyDescent="0.25">
      <c r="G1649" s="38"/>
      <c r="H1649" s="38"/>
      <c r="I1649" s="38"/>
      <c r="J1649" s="38"/>
      <c r="K1649" s="38"/>
      <c r="L1649" s="39"/>
      <c r="M1649" s="38"/>
      <c r="N1649" s="38"/>
      <c r="O1649" s="38"/>
      <c r="P1649" s="38"/>
      <c r="Q1649" s="38"/>
      <c r="R1649" s="38"/>
      <c r="S1649" s="38"/>
    </row>
    <row r="1650" spans="7:19" x14ac:dyDescent="0.25">
      <c r="L1650" s="39"/>
    </row>
    <row r="1651" spans="7:19" x14ac:dyDescent="0.25">
      <c r="G1651" s="38"/>
      <c r="H1651" s="38"/>
      <c r="I1651" s="38"/>
      <c r="J1651" s="38"/>
      <c r="K1651" s="38"/>
      <c r="L1651" s="39"/>
      <c r="M1651" s="38"/>
      <c r="N1651" s="38"/>
      <c r="O1651" s="38"/>
      <c r="P1651" s="38"/>
      <c r="Q1651" s="38"/>
      <c r="R1651" s="38"/>
      <c r="S1651" s="38"/>
    </row>
    <row r="1652" spans="7:19" x14ac:dyDescent="0.25">
      <c r="L1652" s="39"/>
    </row>
    <row r="1653" spans="7:19" x14ac:dyDescent="0.25">
      <c r="G1653" s="38"/>
      <c r="H1653" s="38"/>
      <c r="I1653" s="38"/>
      <c r="J1653" s="38"/>
      <c r="K1653" s="38"/>
      <c r="L1653" s="39"/>
      <c r="M1653" s="38"/>
      <c r="N1653" s="38"/>
      <c r="O1653" s="38"/>
      <c r="P1653" s="38"/>
      <c r="Q1653" s="38"/>
      <c r="R1653" s="38"/>
      <c r="S1653" s="38"/>
    </row>
    <row r="1654" spans="7:19" x14ac:dyDescent="0.25">
      <c r="L1654" s="39"/>
    </row>
    <row r="1655" spans="7:19" x14ac:dyDescent="0.25">
      <c r="G1655" s="38"/>
      <c r="H1655" s="38"/>
      <c r="I1655" s="38"/>
      <c r="J1655" s="38"/>
      <c r="K1655" s="38"/>
      <c r="L1655" s="39"/>
      <c r="M1655" s="38"/>
      <c r="N1655" s="38"/>
      <c r="O1655" s="38"/>
      <c r="P1655" s="38"/>
      <c r="Q1655" s="38"/>
      <c r="R1655" s="38"/>
      <c r="S1655" s="38"/>
    </row>
    <row r="1656" spans="7:19" x14ac:dyDescent="0.25">
      <c r="L1656" s="39"/>
    </row>
    <row r="1657" spans="7:19" x14ac:dyDescent="0.25">
      <c r="G1657" s="38"/>
      <c r="H1657" s="38"/>
      <c r="I1657" s="38"/>
      <c r="J1657" s="38"/>
      <c r="K1657" s="38"/>
      <c r="L1657" s="39"/>
      <c r="M1657" s="38"/>
      <c r="N1657" s="38"/>
      <c r="O1657" s="38"/>
      <c r="P1657" s="38"/>
      <c r="Q1657" s="38"/>
      <c r="R1657" s="38"/>
      <c r="S1657" s="38"/>
    </row>
    <row r="1658" spans="7:19" x14ac:dyDescent="0.25">
      <c r="L1658" s="39"/>
    </row>
    <row r="1659" spans="7:19" x14ac:dyDescent="0.25">
      <c r="G1659" s="38"/>
      <c r="H1659" s="38"/>
      <c r="I1659" s="38"/>
      <c r="J1659" s="38"/>
      <c r="K1659" s="38"/>
      <c r="L1659" s="39"/>
      <c r="M1659" s="38"/>
      <c r="N1659" s="38"/>
      <c r="O1659" s="38"/>
      <c r="P1659" s="38"/>
      <c r="Q1659" s="38"/>
      <c r="R1659" s="38"/>
      <c r="S1659" s="38"/>
    </row>
    <row r="1660" spans="7:19" x14ac:dyDescent="0.25">
      <c r="L1660" s="39"/>
    </row>
    <row r="1661" spans="7:19" x14ac:dyDescent="0.25">
      <c r="G1661" s="38"/>
      <c r="H1661" s="38"/>
      <c r="I1661" s="38"/>
      <c r="J1661" s="38"/>
      <c r="K1661" s="38"/>
      <c r="L1661" s="39"/>
      <c r="M1661" s="38"/>
      <c r="N1661" s="38"/>
      <c r="O1661" s="38"/>
      <c r="P1661" s="38"/>
      <c r="Q1661" s="38"/>
      <c r="R1661" s="38"/>
      <c r="S1661" s="38"/>
    </row>
    <row r="1662" spans="7:19" x14ac:dyDescent="0.25">
      <c r="L1662" s="39"/>
    </row>
    <row r="1663" spans="7:19" x14ac:dyDescent="0.25">
      <c r="G1663" s="38"/>
      <c r="H1663" s="38"/>
      <c r="I1663" s="38"/>
      <c r="J1663" s="38"/>
      <c r="K1663" s="38"/>
      <c r="L1663" s="39"/>
      <c r="M1663" s="38"/>
      <c r="N1663" s="38"/>
      <c r="O1663" s="38"/>
      <c r="P1663" s="38"/>
      <c r="Q1663" s="38"/>
      <c r="R1663" s="38"/>
      <c r="S1663" s="38"/>
    </row>
    <row r="1664" spans="7:19" x14ac:dyDescent="0.25">
      <c r="L1664" s="39"/>
    </row>
    <row r="1665" spans="7:19" x14ac:dyDescent="0.25">
      <c r="G1665" s="38"/>
      <c r="H1665" s="38"/>
      <c r="I1665" s="38"/>
      <c r="J1665" s="38"/>
      <c r="K1665" s="38"/>
      <c r="L1665" s="39"/>
      <c r="M1665" s="38"/>
      <c r="N1665" s="38"/>
      <c r="O1665" s="38"/>
      <c r="P1665" s="38"/>
      <c r="Q1665" s="38"/>
      <c r="R1665" s="38"/>
      <c r="S1665" s="38"/>
    </row>
    <row r="1666" spans="7:19" x14ac:dyDescent="0.25">
      <c r="L1666" s="39"/>
    </row>
    <row r="1667" spans="7:19" x14ac:dyDescent="0.25">
      <c r="G1667" s="38"/>
      <c r="H1667" s="38"/>
      <c r="I1667" s="38"/>
      <c r="J1667" s="38"/>
      <c r="K1667" s="38"/>
      <c r="L1667" s="39"/>
      <c r="M1667" s="38"/>
      <c r="N1667" s="38"/>
      <c r="O1667" s="38"/>
      <c r="P1667" s="38"/>
      <c r="Q1667" s="38"/>
      <c r="R1667" s="38"/>
      <c r="S1667" s="38"/>
    </row>
    <row r="1668" spans="7:19" x14ac:dyDescent="0.25">
      <c r="L1668" s="39"/>
    </row>
    <row r="1669" spans="7:19" x14ac:dyDescent="0.25">
      <c r="G1669" s="38"/>
      <c r="H1669" s="38"/>
      <c r="I1669" s="38"/>
      <c r="J1669" s="38"/>
      <c r="K1669" s="38"/>
      <c r="L1669" s="39"/>
      <c r="M1669" s="38"/>
      <c r="N1669" s="38"/>
      <c r="O1669" s="38"/>
      <c r="P1669" s="38"/>
      <c r="Q1669" s="38"/>
      <c r="R1669" s="38"/>
      <c r="S1669" s="38"/>
    </row>
    <row r="1670" spans="7:19" x14ac:dyDescent="0.25">
      <c r="L1670" s="39"/>
    </row>
    <row r="1671" spans="7:19" x14ac:dyDescent="0.25">
      <c r="G1671" s="38"/>
      <c r="H1671" s="38"/>
      <c r="I1671" s="38"/>
      <c r="J1671" s="38"/>
      <c r="K1671" s="38"/>
      <c r="L1671" s="39"/>
      <c r="M1671" s="38"/>
      <c r="N1671" s="38"/>
      <c r="O1671" s="38"/>
      <c r="P1671" s="38"/>
      <c r="Q1671" s="38"/>
      <c r="R1671" s="38"/>
      <c r="S1671" s="38"/>
    </row>
    <row r="1672" spans="7:19" x14ac:dyDescent="0.25">
      <c r="L1672" s="39"/>
    </row>
    <row r="1673" spans="7:19" x14ac:dyDescent="0.25">
      <c r="G1673" s="38"/>
      <c r="H1673" s="38"/>
      <c r="I1673" s="38"/>
      <c r="J1673" s="38"/>
      <c r="K1673" s="38"/>
      <c r="L1673" s="39"/>
      <c r="M1673" s="38"/>
      <c r="N1673" s="38"/>
      <c r="O1673" s="38"/>
      <c r="P1673" s="38"/>
      <c r="Q1673" s="38"/>
      <c r="R1673" s="38"/>
      <c r="S1673" s="38"/>
    </row>
    <row r="1674" spans="7:19" x14ac:dyDescent="0.25">
      <c r="L1674" s="39"/>
    </row>
    <row r="1675" spans="7:19" x14ac:dyDescent="0.25">
      <c r="G1675" s="38"/>
      <c r="H1675" s="38"/>
      <c r="I1675" s="38"/>
      <c r="J1675" s="38"/>
      <c r="K1675" s="38"/>
      <c r="L1675" s="39"/>
      <c r="M1675" s="38"/>
      <c r="N1675" s="38"/>
      <c r="O1675" s="38"/>
      <c r="P1675" s="38"/>
      <c r="Q1675" s="38"/>
      <c r="R1675" s="38"/>
      <c r="S1675" s="38"/>
    </row>
    <row r="1676" spans="7:19" x14ac:dyDescent="0.25">
      <c r="L1676" s="39"/>
    </row>
    <row r="1677" spans="7:19" x14ac:dyDescent="0.25">
      <c r="G1677" s="38"/>
      <c r="H1677" s="38"/>
      <c r="I1677" s="38"/>
      <c r="J1677" s="38"/>
      <c r="K1677" s="38"/>
      <c r="L1677" s="39"/>
      <c r="M1677" s="38"/>
      <c r="N1677" s="38"/>
      <c r="O1677" s="38"/>
      <c r="P1677" s="38"/>
      <c r="Q1677" s="38"/>
      <c r="R1677" s="38"/>
      <c r="S1677" s="38"/>
    </row>
    <row r="1678" spans="7:19" x14ac:dyDescent="0.25">
      <c r="L1678" s="39"/>
    </row>
    <row r="1679" spans="7:19" x14ac:dyDescent="0.25">
      <c r="G1679" s="38"/>
      <c r="H1679" s="38"/>
      <c r="I1679" s="38"/>
      <c r="J1679" s="38"/>
      <c r="K1679" s="38"/>
      <c r="L1679" s="39"/>
      <c r="M1679" s="38"/>
      <c r="N1679" s="38"/>
      <c r="O1679" s="38"/>
      <c r="P1679" s="38"/>
      <c r="Q1679" s="38"/>
      <c r="R1679" s="38"/>
      <c r="S1679" s="38"/>
    </row>
    <row r="1680" spans="7:19" x14ac:dyDescent="0.25">
      <c r="L1680" s="39"/>
    </row>
    <row r="1681" spans="7:19" x14ac:dyDescent="0.25">
      <c r="G1681" s="38"/>
      <c r="H1681" s="38"/>
      <c r="I1681" s="38"/>
      <c r="J1681" s="38"/>
      <c r="K1681" s="38"/>
      <c r="L1681" s="39"/>
      <c r="M1681" s="38"/>
      <c r="N1681" s="38"/>
      <c r="O1681" s="38"/>
      <c r="P1681" s="38"/>
      <c r="Q1681" s="38"/>
      <c r="R1681" s="38"/>
      <c r="S1681" s="38"/>
    </row>
    <row r="1682" spans="7:19" x14ac:dyDescent="0.25">
      <c r="L1682" s="39"/>
    </row>
    <row r="1683" spans="7:19" x14ac:dyDescent="0.25">
      <c r="G1683" s="38"/>
      <c r="H1683" s="38"/>
      <c r="I1683" s="38"/>
      <c r="J1683" s="38"/>
      <c r="K1683" s="38"/>
      <c r="L1683" s="38"/>
      <c r="M1683" s="38"/>
      <c r="N1683" s="38"/>
      <c r="O1683" s="38"/>
      <c r="P1683" s="38"/>
      <c r="Q1683" s="38"/>
      <c r="R1683" s="38"/>
      <c r="S1683" s="38"/>
    </row>
    <row r="1685" spans="7:19" x14ac:dyDescent="0.25">
      <c r="G1685" s="38"/>
      <c r="H1685" s="38"/>
      <c r="I1685" s="38"/>
      <c r="J1685" s="38"/>
      <c r="K1685" s="38"/>
      <c r="L1685" s="38"/>
      <c r="M1685" s="38"/>
      <c r="N1685" s="38"/>
      <c r="O1685" s="38"/>
      <c r="P1685" s="38"/>
      <c r="Q1685" s="38"/>
      <c r="R1685" s="38"/>
      <c r="S1685" s="38"/>
    </row>
    <row r="1687" spans="7:19" x14ac:dyDescent="0.25">
      <c r="G1687" s="38"/>
      <c r="H1687" s="38"/>
      <c r="I1687" s="38"/>
      <c r="J1687" s="38"/>
      <c r="K1687" s="38"/>
      <c r="L1687" s="38"/>
      <c r="M1687" s="38"/>
      <c r="N1687" s="38"/>
      <c r="O1687" s="38"/>
      <c r="P1687" s="38"/>
      <c r="Q1687" s="38"/>
      <c r="R1687" s="38"/>
      <c r="S1687" s="38"/>
    </row>
  </sheetData>
  <sheetProtection selectLockedCells="1"/>
  <conditionalFormatting sqref="BB1:BD1048576">
    <cfRule type="cellIs" dxfId="45" priority="17" operator="equal">
      <formula>"No"</formula>
    </cfRule>
  </conditionalFormatting>
  <conditionalFormatting sqref="L542:L644">
    <cfRule type="expression" dxfId="44" priority="15">
      <formula>IF(BB542="No",TRUE,FALSE)</formula>
    </cfRule>
  </conditionalFormatting>
  <conditionalFormatting sqref="D2">
    <cfRule type="expression" dxfId="43" priority="14">
      <formula>IF(BC2="No",TRUE,FALSE)</formula>
    </cfRule>
  </conditionalFormatting>
  <conditionalFormatting sqref="N2">
    <cfRule type="expression" dxfId="42" priority="13">
      <formula>IF(BC2="No",TRUE,FALSE)</formula>
    </cfRule>
  </conditionalFormatting>
  <conditionalFormatting sqref="D3:D314">
    <cfRule type="expression" dxfId="41" priority="12">
      <formula>IF(BC3="No",TRUE,FALSE)</formula>
    </cfRule>
  </conditionalFormatting>
  <conditionalFormatting sqref="N3:N477">
    <cfRule type="expression" dxfId="40" priority="11">
      <formula>IF(BC3="No",TRUE,FALSE)</formula>
    </cfRule>
  </conditionalFormatting>
  <conditionalFormatting sqref="E2">
    <cfRule type="expression" dxfId="39" priority="10">
      <formula>IF(BD2="No",TRUE,FALSE)</formula>
    </cfRule>
  </conditionalFormatting>
  <conditionalFormatting sqref="S2">
    <cfRule type="expression" dxfId="38" priority="9">
      <formula>IF(BD2="No",TRUE,FALSE)</formula>
    </cfRule>
  </conditionalFormatting>
  <conditionalFormatting sqref="E3:E314">
    <cfRule type="expression" dxfId="37" priority="8">
      <formula>IF(BD3="No",TRUE,FALSE)</formula>
    </cfRule>
  </conditionalFormatting>
  <conditionalFormatting sqref="S3:S593">
    <cfRule type="expression" dxfId="36" priority="7">
      <formula>IF(BD3="No",TRUE,FALSE)</formula>
    </cfRule>
  </conditionalFormatting>
  <conditionalFormatting sqref="L2">
    <cfRule type="expression" dxfId="35" priority="6">
      <formula>IF(BB2="No",TRUE,FALSE)</formula>
    </cfRule>
  </conditionalFormatting>
  <conditionalFormatting sqref="L3:L345">
    <cfRule type="expression" dxfId="34" priority="5">
      <formula>IF(BB3="No",TRUE,FALSE)</formula>
    </cfRule>
  </conditionalFormatting>
  <conditionalFormatting sqref="C2">
    <cfRule type="expression" dxfId="33" priority="4">
      <formula>IF(BB2="no",TRUE,FALSE)</formula>
    </cfRule>
  </conditionalFormatting>
  <conditionalFormatting sqref="C3:C314">
    <cfRule type="expression" dxfId="32" priority="3">
      <formula>IF(BB3="no",TRUE,FALSE)</formula>
    </cfRule>
  </conditionalFormatting>
  <conditionalFormatting sqref="BH2">
    <cfRule type="expression" dxfId="31" priority="2">
      <formula>IF(DG2="no",TRUE,FALSE)</formula>
    </cfRule>
  </conditionalFormatting>
  <conditionalFormatting sqref="BH3:BH650">
    <cfRule type="expression" dxfId="30" priority="1">
      <formula>IF(DG3="no",TRUE,FALSE)</formula>
    </cfRule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EFB</vt:lpstr>
    </vt:vector>
  </TitlesOfParts>
  <Company>SPI-Quality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De Ieso;Shreeram</dc:creator>
  <cp:lastModifiedBy>Nareshkumar, Rajendran</cp:lastModifiedBy>
  <dcterms:created xsi:type="dcterms:W3CDTF">2014-09-23T14:17:13Z</dcterms:created>
  <dcterms:modified xsi:type="dcterms:W3CDTF">2018-11-08T08:37:51Z</dcterms:modified>
</cp:coreProperties>
</file>